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HIPSAN\H160\RGR 1027\"/>
    </mc:Choice>
  </mc:AlternateContent>
  <xr:revisionPtr revIDLastSave="0" documentId="8_{8901F25C-73BA-4B6F-A9CF-776D39A64A90}" xr6:coauthVersionLast="47" xr6:coauthVersionMax="47" xr10:uidLastSave="{00000000-0000-0000-0000-000000000000}"/>
  <bookViews>
    <workbookView xWindow="-108" yWindow="-108" windowWidth="23256" windowHeight="12456" tabRatio="275" xr2:uid="{00000000-000D-0000-FFFF-FFFF00000000}"/>
  </bookViews>
  <sheets>
    <sheet name="H160 L&amp;T" sheetId="6" r:id="rId1"/>
    <sheet name="Data" sheetId="7" r:id="rId2"/>
  </sheets>
  <definedNames>
    <definedName name="CGCHART">INDIRECT(#REF!)</definedName>
    <definedName name="CGDATUM">INDIRECT(#REF!)</definedName>
    <definedName name="GG">#REF!</definedName>
    <definedName name="LRGP">#REF!</definedName>
    <definedName name="LRGQ">#REF!</definedName>
    <definedName name="NAVEEN">#REF!</definedName>
    <definedName name="PK">#REF!</definedName>
    <definedName name="RAMBO">#REF!</definedName>
    <definedName name="RGP">#REF!</definedName>
    <definedName name="RGP_1">#REF!</definedName>
    <definedName name="RGP_L">#REF!</definedName>
    <definedName name="RGPL">#REF!</definedName>
    <definedName name="RGQ">#REF!</definedName>
    <definedName name="RGQ_1">#REF!</definedName>
    <definedName name="RGQ_L">#REF!</definedName>
    <definedName name="SIGN">INDIRECT(#REF!)</definedName>
    <definedName name="SOM">#REF!</definedName>
    <definedName name="SUNIL">#REF!</definedName>
    <definedName name="TIWA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34" i="7" l="1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E40" i="6"/>
  <c r="F40" i="6" s="1"/>
  <c r="G37" i="6"/>
  <c r="I37" i="6" s="1"/>
  <c r="I34" i="6"/>
  <c r="G34" i="6"/>
  <c r="E32" i="6"/>
  <c r="I32" i="6" s="1"/>
  <c r="E31" i="6"/>
  <c r="I31" i="6" s="1"/>
  <c r="E30" i="6"/>
  <c r="I30" i="6" s="1"/>
  <c r="E29" i="6"/>
  <c r="G29" i="6" s="1"/>
  <c r="E28" i="6"/>
  <c r="I28" i="6" s="1"/>
  <c r="E27" i="6"/>
  <c r="I27" i="6" s="1"/>
  <c r="E26" i="6"/>
  <c r="I26" i="6" s="1"/>
  <c r="E25" i="6"/>
  <c r="G25" i="6" s="1"/>
  <c r="E24" i="6"/>
  <c r="G24" i="6" s="1"/>
  <c r="E23" i="6"/>
  <c r="G23" i="6" s="1"/>
  <c r="E22" i="6"/>
  <c r="I22" i="6" s="1"/>
  <c r="I21" i="6"/>
  <c r="G21" i="6"/>
  <c r="G40" i="6" l="1"/>
  <c r="I40" i="6" s="1"/>
  <c r="I24" i="6"/>
  <c r="G28" i="6"/>
  <c r="I29" i="6"/>
  <c r="I25" i="6"/>
  <c r="E33" i="6"/>
  <c r="E35" i="6" s="1"/>
  <c r="G27" i="6"/>
  <c r="G22" i="6"/>
  <c r="G30" i="6"/>
  <c r="G32" i="6"/>
  <c r="I23" i="6"/>
  <c r="G31" i="6"/>
  <c r="G26" i="6"/>
  <c r="G15" i="7" l="1"/>
  <c r="D15" i="7"/>
  <c r="I35" i="6"/>
  <c r="I36" i="6" s="1"/>
  <c r="F15" i="7" s="1"/>
  <c r="E38" i="6"/>
  <c r="E41" i="6"/>
  <c r="G35" i="6"/>
  <c r="G17" i="7" l="1"/>
  <c r="D17" i="7"/>
  <c r="D16" i="7"/>
  <c r="G16" i="7"/>
  <c r="I38" i="6"/>
  <c r="I39" i="6" s="1"/>
  <c r="F16" i="7" s="1"/>
  <c r="I41" i="6"/>
  <c r="I42" i="6" s="1"/>
  <c r="F17" i="7" s="1"/>
  <c r="G38" i="6"/>
  <c r="G39" i="6" s="1"/>
  <c r="C16" i="7" s="1"/>
  <c r="G36" i="6"/>
  <c r="C15" i="7" s="1"/>
  <c r="G41" i="6"/>
  <c r="G42" i="6" s="1"/>
  <c r="C17" i="7" s="1"/>
</calcChain>
</file>

<file path=xl/sharedStrings.xml><?xml version="1.0" encoding="utf-8"?>
<sst xmlns="http://schemas.openxmlformats.org/spreadsheetml/2006/main" count="94" uniqueCount="69">
  <si>
    <t>Empty Weight</t>
  </si>
  <si>
    <t>Pilot</t>
  </si>
  <si>
    <t>Co-Pilot</t>
  </si>
  <si>
    <t>x</t>
  </si>
  <si>
    <t>y</t>
  </si>
  <si>
    <t>S/N</t>
  </si>
  <si>
    <t>Item</t>
  </si>
  <si>
    <t>DATE:</t>
  </si>
  <si>
    <t>Zero Fuel Mass</t>
  </si>
  <si>
    <t>Co Pilot</t>
  </si>
  <si>
    <t>T/O FUEL</t>
  </si>
  <si>
    <t>A</t>
  </si>
  <si>
    <t>B</t>
  </si>
  <si>
    <t>C</t>
  </si>
  <si>
    <t>D</t>
  </si>
  <si>
    <t>E</t>
  </si>
  <si>
    <t>F</t>
  </si>
  <si>
    <t>G</t>
  </si>
  <si>
    <t>PAX 1</t>
  </si>
  <si>
    <t>PAX 2</t>
  </si>
  <si>
    <t>PAX 3</t>
  </si>
  <si>
    <t>PAX 4</t>
  </si>
  <si>
    <t>FWD Row Pax 1</t>
  </si>
  <si>
    <t>FWD Row Pax 2</t>
  </si>
  <si>
    <t>FWD Row Pax 3</t>
  </si>
  <si>
    <t>FWD Row Pax 4</t>
  </si>
  <si>
    <t>CARGO 1</t>
  </si>
  <si>
    <t>CARGO 2</t>
  </si>
  <si>
    <t>CARGO 3</t>
  </si>
  <si>
    <t>Arm Long
(m)</t>
  </si>
  <si>
    <t>Total Load</t>
  </si>
  <si>
    <t>Longitudinal</t>
  </si>
  <si>
    <t>Lateral</t>
  </si>
  <si>
    <t>CG</t>
  </si>
  <si>
    <t>LONG</t>
  </si>
  <si>
    <t>LAT</t>
  </si>
  <si>
    <r>
      <rPr>
        <b/>
        <u/>
        <sz val="18"/>
        <color theme="1"/>
        <rFont val="Calibri"/>
        <family val="2"/>
        <scheme val="minor"/>
      </rPr>
      <t>CHIPSAN AVIATION PVT LTD</t>
    </r>
    <r>
      <rPr>
        <b/>
        <u/>
        <sz val="14"/>
        <color theme="1"/>
        <rFont val="Calibri"/>
        <family val="2"/>
        <scheme val="minor"/>
      </rPr>
      <t xml:space="preserve">
LOAD SHEET- H160 B</t>
    </r>
  </si>
  <si>
    <t>Configuration: 02 Crew + 06 Passenger</t>
  </si>
  <si>
    <t>REGN NO: VT-RGR</t>
  </si>
  <si>
    <t>A/C TYPE: H160 B</t>
  </si>
  <si>
    <t>DEPARTURE</t>
  </si>
  <si>
    <t>Arm Lat (m)</t>
  </si>
  <si>
    <t xml:space="preserve">Moment (Kg-m) </t>
  </si>
  <si>
    <t>DESTINATION</t>
  </si>
  <si>
    <t>Weight (Kg)</t>
  </si>
  <si>
    <t>Moment 
(Kg-m)</t>
  </si>
  <si>
    <t>Fuel at T/O</t>
  </si>
  <si>
    <t>Fuel 650 kg</t>
  </si>
  <si>
    <t>Take Off Mass B+D</t>
  </si>
  <si>
    <t>Fuel 0 kg</t>
  </si>
  <si>
    <t>650 kg Mass C+E</t>
  </si>
  <si>
    <t>H</t>
  </si>
  <si>
    <t>I</t>
  </si>
  <si>
    <t>J</t>
  </si>
  <si>
    <t>PIC:</t>
  </si>
  <si>
    <t>LIC NO.</t>
  </si>
  <si>
    <t>SIGN:</t>
  </si>
  <si>
    <t>Empty Weight: 3977.48 kg</t>
  </si>
  <si>
    <t>Max Take Off weight: 6050 kg</t>
  </si>
  <si>
    <t>It is certified that the helicopter is loaded according to approved schedule that 
ensures CG is within approved limits during all phases of flight'</t>
  </si>
  <si>
    <t>Fuel (Kg)</t>
  </si>
  <si>
    <t>Arm (m)</t>
  </si>
  <si>
    <t>Moment
(Kg-mm)</t>
  </si>
  <si>
    <t>Cargo 1 (Max 50)</t>
  </si>
  <si>
    <t>Cargo 2 (Max 300)</t>
  </si>
  <si>
    <t>Cargo 3 (Max 30)</t>
  </si>
  <si>
    <t>AFT RH Pax 5</t>
  </si>
  <si>
    <t>AFT LH Pax 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</si>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</sst>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;[Red]0.00"/>
    <numFmt numFmtId="165" formatCode="0;[Red]0"/>
    <numFmt numFmtId="166" formatCode="0.000"/>
    <numFmt numFmtId="167" formatCode="0.000;[Red]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61">
    <xf numFmtId="0" fontId="0" fillId="0" borderId="0" xfId="0"/>
    <xf numFmtId="0" fontId="4" fillId="0" borderId="0" xfId="0" applyFont="1" applyProtection="1">
      <protection hidden="1"/>
    </xf>
    <xf numFmtId="0" fontId="0" fillId="0" borderId="0" xfId="0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64" fontId="3" fillId="0" borderId="1" xfId="0" applyNumberFormat="1" applyFont="1" applyBorder="1" applyAlignment="1" applyProtection="1">
      <alignment horizontal="center"/>
      <protection hidden="1"/>
    </xf>
    <xf numFmtId="2" fontId="3" fillId="0" borderId="1" xfId="0" applyNumberFormat="1" applyFont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2" fillId="0" borderId="0" xfId="0" applyFont="1" applyProtection="1">
      <protection hidden="1"/>
    </xf>
    <xf numFmtId="0" fontId="2" fillId="0" borderId="1" xfId="0" applyFont="1" applyBorder="1" applyProtection="1">
      <protection hidden="1"/>
    </xf>
    <xf numFmtId="164" fontId="2" fillId="0" borderId="1" xfId="0" applyNumberFormat="1" applyFont="1" applyBorder="1" applyAlignment="1" applyProtection="1">
      <alignment horizontal="center"/>
      <protection hidden="1"/>
    </xf>
    <xf numFmtId="0" fontId="4" fillId="0" borderId="0" xfId="0" quotePrefix="1" applyFont="1" applyAlignment="1" applyProtection="1">
      <alignment horizontal="right"/>
      <protection hidden="1"/>
    </xf>
    <xf numFmtId="0" fontId="4" fillId="0" borderId="0" xfId="0" quotePrefix="1" applyFont="1" applyAlignment="1" applyProtection="1">
      <alignment horizontal="center"/>
      <protection hidden="1"/>
    </xf>
    <xf numFmtId="0" fontId="4" fillId="0" borderId="0" xfId="0" quotePrefix="1" applyFont="1" applyAlignment="1" applyProtection="1">
      <alignment horizontal="right" vertical="top"/>
      <protection hidden="1"/>
    </xf>
    <xf numFmtId="0" fontId="2" fillId="0" borderId="1" xfId="0" applyFont="1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165" fontId="1" fillId="3" borderId="16" xfId="0" applyNumberFormat="1" applyFont="1" applyFill="1" applyBorder="1" applyAlignment="1" applyProtection="1">
      <alignment horizontal="center"/>
      <protection locked="0" hidden="1"/>
    </xf>
    <xf numFmtId="0" fontId="1" fillId="3" borderId="16" xfId="0" applyFont="1" applyFill="1" applyBorder="1" applyAlignment="1" applyProtection="1">
      <alignment horizontal="center"/>
      <protection locked="0" hidden="1"/>
    </xf>
    <xf numFmtId="0" fontId="0" fillId="2" borderId="7" xfId="0" applyFill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left"/>
      <protection hidden="1"/>
    </xf>
    <xf numFmtId="164" fontId="1" fillId="0" borderId="1" xfId="0" applyNumberFormat="1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1" fillId="0" borderId="20" xfId="0" applyFont="1" applyBorder="1" applyAlignment="1" applyProtection="1">
      <alignment horizontal="center"/>
      <protection hidden="1"/>
    </xf>
    <xf numFmtId="0" fontId="1" fillId="0" borderId="21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locked="0" hidden="1"/>
    </xf>
    <xf numFmtId="0" fontId="3" fillId="0" borderId="13" xfId="0" applyFont="1" applyBorder="1" applyAlignment="1" applyProtection="1">
      <alignment horizontal="center"/>
      <protection hidden="1"/>
    </xf>
    <xf numFmtId="0" fontId="3" fillId="0" borderId="18" xfId="0" applyFont="1" applyBorder="1" applyProtection="1">
      <protection locked="0" hidden="1"/>
    </xf>
    <xf numFmtId="0" fontId="3" fillId="0" borderId="16" xfId="0" applyFont="1" applyBorder="1" applyProtection="1">
      <protection hidden="1"/>
    </xf>
    <xf numFmtId="0" fontId="9" fillId="0" borderId="0" xfId="0" applyFont="1" applyAlignment="1" applyProtection="1">
      <alignment horizontal="left"/>
      <protection locked="0" hidden="1"/>
    </xf>
    <xf numFmtId="0" fontId="5" fillId="0" borderId="0" xfId="0" applyFont="1" applyAlignment="1" applyProtection="1">
      <alignment horizontal="right"/>
      <protection hidden="1"/>
    </xf>
    <xf numFmtId="0" fontId="5" fillId="0" borderId="0" xfId="0" applyFont="1" applyProtection="1">
      <protection hidden="1"/>
    </xf>
    <xf numFmtId="2" fontId="0" fillId="2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3" fillId="0" borderId="24" xfId="0" applyFont="1" applyBorder="1" applyAlignment="1" applyProtection="1">
      <alignment horizontal="center"/>
      <protection hidden="1"/>
    </xf>
    <xf numFmtId="0" fontId="1" fillId="3" borderId="25" xfId="0" applyFont="1" applyFill="1" applyBorder="1" applyAlignment="1" applyProtection="1">
      <alignment horizontal="center"/>
      <protection locked="0" hidden="1"/>
    </xf>
    <xf numFmtId="0" fontId="1" fillId="2" borderId="0" xfId="0" applyFont="1" applyFill="1" applyProtection="1">
      <protection hidden="1"/>
    </xf>
    <xf numFmtId="0" fontId="0" fillId="2" borderId="0" xfId="0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2" fontId="2" fillId="0" borderId="1" xfId="0" applyNumberFormat="1" applyFont="1" applyBorder="1" applyAlignment="1" applyProtection="1">
      <alignment horizontal="center"/>
      <protection hidden="1"/>
    </xf>
    <xf numFmtId="2" fontId="1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6" fontId="13" fillId="0" borderId="1" xfId="0" applyNumberFormat="1" applyFont="1" applyBorder="1" applyAlignment="1" applyProtection="1">
      <alignment horizontal="center"/>
      <protection hidden="1"/>
    </xf>
    <xf numFmtId="2" fontId="10" fillId="0" borderId="0" xfId="0" applyNumberFormat="1" applyFont="1" applyProtection="1">
      <protection hidden="1"/>
    </xf>
    <xf numFmtId="164" fontId="10" fillId="0" borderId="0" xfId="0" applyNumberFormat="1" applyFont="1" applyAlignment="1" applyProtection="1">
      <alignment horizontal="left"/>
      <protection hidden="1"/>
    </xf>
    <xf numFmtId="0" fontId="0" fillId="0" borderId="7" xfId="0" applyBorder="1" applyProtection="1">
      <protection hidden="1"/>
    </xf>
    <xf numFmtId="2" fontId="0" fillId="2" borderId="0" xfId="0" applyNumberFormat="1" applyFill="1" applyAlignment="1" applyProtection="1">
      <alignment horizontal="center"/>
      <protection hidden="1"/>
    </xf>
    <xf numFmtId="0" fontId="3" fillId="0" borderId="0" xfId="0" applyFont="1" applyAlignment="1" applyProtection="1">
      <alignment horizontal="right"/>
      <protection hidden="1"/>
    </xf>
    <xf numFmtId="0" fontId="5" fillId="0" borderId="14" xfId="0" applyFont="1" applyBorder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5" fillId="0" borderId="1" xfId="0" applyFont="1" applyBorder="1" applyProtection="1">
      <protection hidden="1"/>
    </xf>
    <xf numFmtId="0" fontId="1" fillId="0" borderId="1" xfId="0" applyFont="1" applyBorder="1" applyProtection="1">
      <protection hidden="1"/>
    </xf>
    <xf numFmtId="0" fontId="3" fillId="0" borderId="26" xfId="0" applyFont="1" applyBorder="1" applyAlignment="1" applyProtection="1">
      <alignment horizontal="center"/>
      <protection hidden="1"/>
    </xf>
    <xf numFmtId="0" fontId="3" fillId="0" borderId="18" xfId="0" applyFont="1" applyBorder="1" applyProtection="1">
      <protection hidden="1"/>
    </xf>
    <xf numFmtId="166" fontId="2" fillId="0" borderId="1" xfId="0" applyNumberFormat="1" applyFont="1" applyBorder="1" applyAlignment="1" applyProtection="1">
      <alignment horizontal="center"/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164" fontId="0" fillId="0" borderId="0" xfId="0" applyNumberFormat="1"/>
    <xf numFmtId="164" fontId="0" fillId="0" borderId="1" xfId="0" applyNumberFormat="1" applyBorder="1" applyProtection="1">
      <protection hidden="1"/>
    </xf>
    <xf numFmtId="2" fontId="0" fillId="0" borderId="1" xfId="0" applyNumberFormat="1" applyBorder="1" applyProtection="1"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166" fontId="0" fillId="2" borderId="1" xfId="0" applyNumberFormat="1" applyFill="1" applyBorder="1" applyAlignment="1" applyProtection="1">
      <alignment horizontal="center"/>
      <protection hidden="1"/>
    </xf>
    <xf numFmtId="164" fontId="0" fillId="2" borderId="1" xfId="0" applyNumberFormat="1" applyFill="1" applyBorder="1" applyAlignment="1" applyProtection="1">
      <alignment horizontal="center"/>
      <protection hidden="1"/>
    </xf>
    <xf numFmtId="164" fontId="4" fillId="0" borderId="1" xfId="0" applyNumberFormat="1" applyFont="1" applyBorder="1" applyAlignment="1" applyProtection="1">
      <alignment horizontal="center"/>
      <protection hidden="1"/>
    </xf>
    <xf numFmtId="167" fontId="5" fillId="0" borderId="0" xfId="0" applyNumberFormat="1" applyFont="1" applyAlignment="1" applyProtection="1">
      <alignment horizontal="center"/>
      <protection hidden="1"/>
    </xf>
    <xf numFmtId="166" fontId="0" fillId="0" borderId="1" xfId="0" applyNumberFormat="1" applyBorder="1" applyAlignment="1" applyProtection="1">
      <alignment horizontal="center"/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166" fontId="4" fillId="0" borderId="7" xfId="0" applyNumberFormat="1" applyFont="1" applyBorder="1" applyAlignment="1" applyProtection="1">
      <alignment horizontal="center"/>
      <protection hidden="1"/>
    </xf>
    <xf numFmtId="2" fontId="0" fillId="2" borderId="7" xfId="0" applyNumberFormat="1" applyFill="1" applyBorder="1" applyAlignment="1" applyProtection="1">
      <alignment horizontal="center"/>
      <protection hidden="1"/>
    </xf>
    <xf numFmtId="166" fontId="0" fillId="2" borderId="7" xfId="0" applyNumberFormat="1" applyFill="1" applyBorder="1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1" fillId="2" borderId="0" xfId="0" applyNumberFormat="1" applyFont="1" applyFill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right"/>
      <protection hidden="1"/>
    </xf>
    <xf numFmtId="0" fontId="3" fillId="0" borderId="14" xfId="0" applyFont="1" applyBorder="1" applyAlignment="1" applyProtection="1">
      <alignment horizontal="right"/>
      <protection hidden="1"/>
    </xf>
    <xf numFmtId="0" fontId="4" fillId="0" borderId="2" xfId="0" applyFont="1" applyBorder="1" applyAlignment="1" applyProtection="1">
      <alignment horizontal="center"/>
      <protection hidden="1"/>
    </xf>
    <xf numFmtId="0" fontId="4" fillId="0" borderId="10" xfId="0" applyFont="1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4" fillId="0" borderId="7" xfId="0" applyFont="1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2" fontId="1" fillId="0" borderId="31" xfId="0" applyNumberFormat="1" applyFont="1" applyBorder="1" applyAlignment="1">
      <alignment horizontal="center" vertical="center" wrapText="1"/>
    </xf>
    <xf numFmtId="0" fontId="0" fillId="0" borderId="32" xfId="0" applyBorder="1"/>
    <xf numFmtId="2" fontId="0" fillId="0" borderId="0" xfId="0" applyNumberFormat="1"/>
    <xf numFmtId="2" fontId="0" fillId="0" borderId="33" xfId="0" applyNumberFormat="1" applyBorder="1"/>
    <xf numFmtId="0" fontId="0" fillId="0" borderId="34" xfId="0" applyBorder="1"/>
    <xf numFmtId="2" fontId="0" fillId="0" borderId="28" xfId="0" applyNumberFormat="1" applyBorder="1"/>
    <xf numFmtId="0" fontId="0" fillId="0" borderId="21" xfId="0" applyBorder="1"/>
    <xf numFmtId="2" fontId="0" fillId="0" borderId="35" xfId="0" applyNumberFormat="1" applyBorder="1"/>
    <xf numFmtId="0" fontId="5" fillId="3" borderId="19" xfId="0" applyFont="1" applyFill="1" applyBorder="1" applyAlignment="1" applyProtection="1">
      <alignment horizontal="center"/>
      <protection locked="0" hidden="1"/>
    </xf>
    <xf numFmtId="0" fontId="5" fillId="3" borderId="16" xfId="0" applyFont="1" applyFill="1" applyBorder="1" applyAlignment="1" applyProtection="1">
      <alignment horizontal="center"/>
      <protection locked="0" hidden="1"/>
    </xf>
    <xf numFmtId="0" fontId="5" fillId="3" borderId="22" xfId="0" applyFont="1" applyFill="1" applyBorder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right"/>
      <protection hidden="1"/>
    </xf>
    <xf numFmtId="0" fontId="1" fillId="0" borderId="2" xfId="0" applyFont="1" applyBorder="1" applyProtection="1">
      <protection hidden="1"/>
    </xf>
    <xf numFmtId="0" fontId="1" fillId="0" borderId="5" xfId="0" applyFont="1" applyBorder="1" applyAlignment="1" applyProtection="1">
      <alignment horizontal="center" vertical="top"/>
      <protection hidden="1"/>
    </xf>
    <xf numFmtId="0" fontId="1" fillId="0" borderId="3" xfId="0" applyFont="1" applyBorder="1" applyAlignment="1" applyProtection="1">
      <alignment horizontal="center" vertical="top"/>
      <protection hidden="1"/>
    </xf>
    <xf numFmtId="0" fontId="3" fillId="0" borderId="23" xfId="0" applyFont="1" applyBorder="1" applyAlignment="1" applyProtection="1">
      <alignment horizontal="center"/>
      <protection hidden="1"/>
    </xf>
    <xf numFmtId="0" fontId="3" fillId="0" borderId="8" xfId="0" applyFont="1" applyBorder="1" applyAlignment="1" applyProtection="1">
      <alignment horizontal="center"/>
      <protection hidden="1"/>
    </xf>
    <xf numFmtId="0" fontId="3" fillId="0" borderId="3" xfId="0" applyFont="1" applyBorder="1" applyAlignment="1" applyProtection="1">
      <alignment horizontal="center"/>
      <protection hidden="1"/>
    </xf>
    <xf numFmtId="0" fontId="3" fillId="0" borderId="4" xfId="0" applyFont="1" applyBorder="1" applyAlignment="1" applyProtection="1">
      <alignment horizontal="center"/>
      <protection hidden="1"/>
    </xf>
    <xf numFmtId="0" fontId="3" fillId="3" borderId="27" xfId="0" applyFont="1" applyFill="1" applyBorder="1" applyAlignment="1" applyProtection="1">
      <alignment horizontal="center"/>
      <protection locked="0"/>
    </xf>
    <xf numFmtId="0" fontId="3" fillId="3" borderId="17" xfId="0" applyFont="1" applyFill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hidden="1"/>
    </xf>
    <xf numFmtId="0" fontId="1" fillId="0" borderId="10" xfId="0" applyFont="1" applyBorder="1" applyAlignment="1" applyProtection="1">
      <alignment horizontal="center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 wrapText="1"/>
      <protection hidden="1"/>
    </xf>
    <xf numFmtId="0" fontId="5" fillId="0" borderId="7" xfId="0" applyFont="1" applyBorder="1" applyAlignment="1" applyProtection="1">
      <alignment horizontal="center" wrapText="1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7" xfId="0" applyFont="1" applyBorder="1" applyAlignment="1" applyProtection="1">
      <alignment horizontal="center"/>
      <protection hidden="1"/>
    </xf>
    <xf numFmtId="0" fontId="1" fillId="3" borderId="21" xfId="0" applyFont="1" applyFill="1" applyBorder="1" applyAlignment="1" applyProtection="1">
      <alignment horizontal="center"/>
      <protection locked="0" hidden="1"/>
    </xf>
    <xf numFmtId="0" fontId="1" fillId="3" borderId="9" xfId="0" applyFont="1" applyFill="1" applyBorder="1" applyAlignment="1" applyProtection="1">
      <alignment horizontal="center"/>
      <protection locked="0" hidden="1"/>
    </xf>
    <xf numFmtId="0" fontId="2" fillId="0" borderId="2" xfId="0" applyFont="1" applyBorder="1" applyAlignment="1" applyProtection="1">
      <alignment horizontal="center"/>
      <protection hidden="1"/>
    </xf>
    <xf numFmtId="0" fontId="2" fillId="0" borderId="7" xfId="0" applyFont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left"/>
      <protection hidden="1"/>
    </xf>
    <xf numFmtId="0" fontId="2" fillId="0" borderId="7" xfId="0" applyFont="1" applyBorder="1" applyAlignment="1" applyProtection="1">
      <alignment horizontal="left"/>
      <protection hidden="1"/>
    </xf>
    <xf numFmtId="164" fontId="3" fillId="0" borderId="11" xfId="0" applyNumberFormat="1" applyFont="1" applyBorder="1" applyAlignment="1" applyProtection="1">
      <alignment horizontal="center" vertical="center" wrapText="1"/>
      <protection hidden="1"/>
    </xf>
    <xf numFmtId="164" fontId="3" fillId="0" borderId="12" xfId="0" applyNumberFormat="1" applyFont="1" applyBorder="1" applyAlignment="1" applyProtection="1">
      <alignment horizontal="center" vertical="center" wrapText="1"/>
      <protection hidden="1"/>
    </xf>
    <xf numFmtId="0" fontId="4" fillId="0" borderId="0" xfId="0" quotePrefix="1" applyFont="1" applyAlignment="1" applyProtection="1">
      <alignment horizontal="left" vertical="top" wrapText="1"/>
      <protection hidden="1"/>
    </xf>
    <xf numFmtId="0" fontId="4" fillId="0" borderId="0" xfId="0" quotePrefix="1" applyFont="1" applyAlignment="1" applyProtection="1">
      <alignment horizontal="left" vertical="top"/>
      <protection hidden="1"/>
    </xf>
    <xf numFmtId="0" fontId="4" fillId="0" borderId="28" xfId="0" quotePrefix="1" applyFont="1" applyBorder="1" applyAlignment="1" applyProtection="1">
      <alignment horizontal="left" vertical="top"/>
      <protection hidden="1"/>
    </xf>
    <xf numFmtId="0" fontId="5" fillId="0" borderId="10" xfId="0" applyFont="1" applyBorder="1" applyAlignment="1" applyProtection="1">
      <alignment horizontal="center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0" fillId="0" borderId="10" xfId="0" applyBorder="1" applyAlignment="1" applyProtection="1">
      <alignment horizontal="center"/>
      <protection hidden="1"/>
    </xf>
    <xf numFmtId="0" fontId="4" fillId="0" borderId="2" xfId="0" applyFont="1" applyBorder="1" applyAlignment="1" applyProtection="1">
      <alignment horizontal="center"/>
      <protection hidden="1"/>
    </xf>
    <xf numFmtId="0" fontId="4" fillId="0" borderId="10" xfId="0" applyFont="1" applyBorder="1" applyAlignment="1" applyProtection="1">
      <alignment horizontal="center"/>
      <protection hidden="1"/>
    </xf>
    <xf numFmtId="0" fontId="1" fillId="0" borderId="10" xfId="0" applyFont="1" applyBorder="1" applyAlignment="1" applyProtection="1">
      <alignment horizontal="center"/>
      <protection locked="0" hidden="1"/>
    </xf>
    <xf numFmtId="0" fontId="1" fillId="0" borderId="7" xfId="0" applyFont="1" applyBorder="1" applyAlignment="1" applyProtection="1">
      <alignment horizontal="center"/>
      <protection locked="0" hidden="1"/>
    </xf>
    <xf numFmtId="0" fontId="1" fillId="0" borderId="13" xfId="0" applyFont="1" applyBorder="1" applyAlignment="1" applyProtection="1">
      <alignment horizontal="center" vertical="top"/>
      <protection locked="0" hidden="1"/>
    </xf>
    <xf numFmtId="0" fontId="1" fillId="0" borderId="6" xfId="0" applyFont="1" applyBorder="1" applyAlignment="1" applyProtection="1">
      <alignment horizontal="center" vertical="top"/>
      <protection locked="0" hidden="1"/>
    </xf>
    <xf numFmtId="0" fontId="1" fillId="0" borderId="28" xfId="0" applyFont="1" applyBorder="1" applyAlignment="1" applyProtection="1">
      <alignment horizontal="center" vertical="top"/>
      <protection locked="0" hidden="1"/>
    </xf>
    <xf numFmtId="0" fontId="1" fillId="0" borderId="4" xfId="0" applyFont="1" applyBorder="1" applyAlignment="1" applyProtection="1">
      <alignment horizontal="center" vertical="top"/>
      <protection locked="0" hidden="1"/>
    </xf>
    <xf numFmtId="0" fontId="1" fillId="0" borderId="2" xfId="0" applyFont="1" applyBorder="1" applyAlignment="1" applyProtection="1">
      <alignment horizontal="center"/>
      <protection locked="0" hidden="1"/>
    </xf>
    <xf numFmtId="0" fontId="8" fillId="0" borderId="0" xfId="0" applyFont="1" applyAlignment="1" applyProtection="1">
      <alignment horizontal="center" vertical="top" wrapText="1"/>
      <protection hidden="1"/>
    </xf>
    <xf numFmtId="0" fontId="0" fillId="0" borderId="0" xfId="0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locked="0" hidden="1"/>
    </xf>
    <xf numFmtId="0" fontId="3" fillId="0" borderId="5" xfId="0" applyFont="1" applyBorder="1" applyAlignment="1" applyProtection="1">
      <alignment horizontal="center" vertical="center" wrapText="1"/>
      <protection hidden="1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  <xf numFmtId="0" fontId="3" fillId="0" borderId="4" xfId="0" applyFont="1" applyBorder="1" applyAlignment="1" applyProtection="1">
      <alignment horizontal="center" vertical="center" wrapText="1"/>
      <protection hidden="1"/>
    </xf>
    <xf numFmtId="0" fontId="5" fillId="0" borderId="2" xfId="0" applyFont="1" applyBorder="1" applyAlignment="1" applyProtection="1">
      <alignment horizontal="left"/>
      <protection hidden="1"/>
    </xf>
    <xf numFmtId="0" fontId="5" fillId="0" borderId="7" xfId="0" applyFont="1" applyBorder="1" applyAlignment="1" applyProtection="1">
      <alignment horizontal="left"/>
      <protection hidden="1"/>
    </xf>
    <xf numFmtId="0" fontId="4" fillId="0" borderId="7" xfId="0" applyFont="1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5" fillId="3" borderId="1" xfId="0" applyFont="1" applyFill="1" applyBorder="1" applyAlignment="1" applyProtection="1">
      <alignment horizontal="center"/>
      <protection locked="0" hidden="1"/>
    </xf>
    <xf numFmtId="0" fontId="0" fillId="3" borderId="1" xfId="0" applyFill="1" applyBorder="1" applyAlignment="1" applyProtection="1">
      <alignment horizontal="center"/>
      <protection locked="0" hidden="1"/>
    </xf>
    <xf numFmtId="0" fontId="0" fillId="3" borderId="2" xfId="0" applyFill="1" applyBorder="1" applyAlignment="1" applyProtection="1">
      <alignment horizontal="center"/>
      <protection locked="0" hidden="1"/>
    </xf>
    <xf numFmtId="14" fontId="5" fillId="3" borderId="1" xfId="0" applyNumberFormat="1" applyFont="1" applyFill="1" applyBorder="1" applyAlignment="1" applyProtection="1">
      <alignment horizontal="center"/>
      <protection locked="0" hidden="1"/>
    </xf>
    <xf numFmtId="0" fontId="5" fillId="0" borderId="1" xfId="0" applyFont="1" applyBorder="1" applyAlignment="1" applyProtection="1">
      <alignment horizontal="left"/>
      <protection hidden="1"/>
    </xf>
    <xf numFmtId="0" fontId="5" fillId="0" borderId="1" xfId="0" applyFont="1" applyBorder="1" applyAlignment="1" applyProtection="1">
      <alignment horizontal="left" vertical="center"/>
      <protection hidden="1"/>
    </xf>
  </cellXfs>
  <cellStyles count="1"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bgColor theme="0"/>
        </patternFill>
      </fill>
      <border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88136218935874"/>
          <c:y val="3.1999296744513135E-2"/>
          <c:w val="0.75779560670111679"/>
          <c:h val="0.74729543753166461"/>
        </c:manualLayout>
      </c:layout>
      <c:scatterChart>
        <c:scatterStyle val="lineMarker"/>
        <c:varyColors val="0"/>
        <c:ser>
          <c:idx val="1"/>
          <c:order val="0"/>
          <c:tx>
            <c:v>Long</c:v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AE-4394-A0CB-4D99629E8863}"/>
                </c:ext>
              </c:extLst>
            </c:dLbl>
            <c:dLbl>
              <c:idx val="1"/>
              <c:layout>
                <c:manualLayout>
                  <c:x val="-0.10518473012486881"/>
                  <c:y val="-5.784414943355824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AE-4394-A0CB-4D99629E8863}"/>
                </c:ext>
              </c:extLst>
            </c:dLbl>
            <c:dLbl>
              <c:idx val="4"/>
              <c:layout>
                <c:manualLayout>
                  <c:x val="-1.2929211459358431E-3"/>
                  <c:y val="-4.8673320054367286E-3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AE-4394-A0CB-4D99629E8863}"/>
                </c:ext>
              </c:extLst>
            </c:dLbl>
            <c:dLbl>
              <c:idx val="5"/>
              <c:layout>
                <c:manualLayout>
                  <c:x val="-5.4056733978150522E-2"/>
                  <c:y val="4.369475063700790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AE-4394-A0CB-4D99629E8863}"/>
                </c:ext>
              </c:extLst>
            </c:dLbl>
            <c:dLbl>
              <c:idx val="6"/>
              <c:layout>
                <c:manualLayout>
                  <c:x val="-7.000885490339237E-2"/>
                  <c:y val="4.810948542268478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CAE-4394-A0CB-4D99629E8863}"/>
                </c:ext>
              </c:extLst>
            </c:dLbl>
            <c:dLbl>
              <c:idx val="7"/>
              <c:layout>
                <c:manualLayout>
                  <c:x val="-7.7044029947687651E-2"/>
                  <c:y val="6.576842456539196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AE-4394-A0CB-4D99629E886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Data!$C$6:$C$13</c:f>
              <c:numCache>
                <c:formatCode>General</c:formatCode>
                <c:ptCount val="8"/>
                <c:pt idx="0">
                  <c:v>5.0919999999999996</c:v>
                </c:pt>
                <c:pt idx="1">
                  <c:v>5.0919999999999996</c:v>
                </c:pt>
                <c:pt idx="2">
                  <c:v>5.13</c:v>
                </c:pt>
                <c:pt idx="3">
                  <c:v>5.2869999999999999</c:v>
                </c:pt>
                <c:pt idx="4">
                  <c:v>5.39</c:v>
                </c:pt>
                <c:pt idx="5">
                  <c:v>5.39</c:v>
                </c:pt>
                <c:pt idx="6">
                  <c:v>5.3049999999999997</c:v>
                </c:pt>
                <c:pt idx="7">
                  <c:v>5.0919999999999996</c:v>
                </c:pt>
              </c:numCache>
            </c:numRef>
          </c:xVal>
          <c:yVal>
            <c:numRef>
              <c:f>Data!$D$6:$D$13</c:f>
              <c:numCache>
                <c:formatCode>General</c:formatCode>
                <c:ptCount val="8"/>
                <c:pt idx="0">
                  <c:v>4700</c:v>
                </c:pt>
                <c:pt idx="1">
                  <c:v>5300</c:v>
                </c:pt>
                <c:pt idx="2">
                  <c:v>6050</c:v>
                </c:pt>
                <c:pt idx="3">
                  <c:v>6050</c:v>
                </c:pt>
                <c:pt idx="4">
                  <c:v>4500</c:v>
                </c:pt>
                <c:pt idx="5">
                  <c:v>3760</c:v>
                </c:pt>
                <c:pt idx="6">
                  <c:v>3760</c:v>
                </c:pt>
                <c:pt idx="7">
                  <c:v>4700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D4-4BC8-9FB6-4AED48DCD14F}"/>
            </c:ext>
          </c:extLst>
        </c:ser>
        <c:ser>
          <c:idx val="0"/>
          <c:order val="1"/>
          <c:tx>
            <c:v>limit line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delete val="1"/>
          </c:dLbls>
          <c:xVal>
            <c:numRef>
              <c:f>Data!$B$21:$B$22</c:f>
              <c:numCache>
                <c:formatCode>General</c:formatCode>
                <c:ptCount val="2"/>
                <c:pt idx="0">
                  <c:v>5.05</c:v>
                </c:pt>
                <c:pt idx="1">
                  <c:v>5.45</c:v>
                </c:pt>
              </c:numCache>
            </c:numRef>
          </c:xVal>
          <c:yVal>
            <c:numRef>
              <c:f>Data!$C$21:$C$22</c:f>
              <c:numCache>
                <c:formatCode>General</c:formatCode>
                <c:ptCount val="2"/>
                <c:pt idx="0">
                  <c:v>6100</c:v>
                </c:pt>
                <c:pt idx="1">
                  <c:v>6100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F77-4500-A9D2-00CADB12E103}"/>
            </c:ext>
          </c:extLst>
        </c:ser>
        <c:ser>
          <c:idx val="2"/>
          <c:order val="2"/>
          <c:tx>
            <c:v>CG Data</c:v>
          </c:tx>
          <c:marker>
            <c:symbol val="none"/>
          </c:marker>
          <c:dLbls>
            <c:delete val="1"/>
          </c:dLbls>
          <c:xVal>
            <c:numRef>
              <c:f>Data!$C$15:$C$17</c:f>
              <c:numCache>
                <c:formatCode>0.00</c:formatCode>
                <c:ptCount val="3"/>
                <c:pt idx="0" formatCode="0.000">
                  <c:v>5.2910272082913608</c:v>
                </c:pt>
                <c:pt idx="1">
                  <c:v>5.2047851103711746</c:v>
                </c:pt>
                <c:pt idx="2" formatCode="0.000">
                  <c:v>5.2541120683796843</c:v>
                </c:pt>
              </c:numCache>
            </c:numRef>
          </c:xVal>
          <c:yVal>
            <c:numRef>
              <c:f>Data!$D$15:$D$17</c:f>
              <c:numCache>
                <c:formatCode>0.00</c:formatCode>
                <c:ptCount val="3"/>
                <c:pt idx="0" formatCode="0.00;[Red]0.00">
                  <c:v>4407.4799999999996</c:v>
                </c:pt>
                <c:pt idx="1">
                  <c:v>5057.4799999999996</c:v>
                </c:pt>
                <c:pt idx="2" formatCode="0.00;[Red]0.00">
                  <c:v>5297.48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F77-4500-A9D2-00CADB12E10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713126976"/>
        <c:axId val="713127552"/>
      </c:scatterChart>
      <c:valAx>
        <c:axId val="713126976"/>
        <c:scaling>
          <c:orientation val="minMax"/>
          <c:max val="5.45"/>
          <c:min val="5.05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713127552"/>
        <c:crosses val="autoZero"/>
        <c:crossBetween val="midCat"/>
        <c:majorUnit val="5.000000000000001E-2"/>
      </c:valAx>
      <c:valAx>
        <c:axId val="713127552"/>
        <c:scaling>
          <c:orientation val="minMax"/>
          <c:max val="6500"/>
          <c:min val="300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13126976"/>
        <c:crosses val="autoZero"/>
        <c:crossBetween val="midCat"/>
        <c:majorUnit val="500"/>
        <c:minorUnit val="100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30942164564507"/>
          <c:y val="4.8594721493500928E-2"/>
          <c:w val="0.75779560670111679"/>
          <c:h val="0.74729543753166461"/>
        </c:manualLayout>
      </c:layout>
      <c:scatterChart>
        <c:scatterStyle val="lineMarker"/>
        <c:varyColors val="0"/>
        <c:ser>
          <c:idx val="1"/>
          <c:order val="0"/>
          <c:tx>
            <c:v>LAT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FDB-4697-958D-C0BF654788EB}"/>
                </c:ext>
              </c:extLst>
            </c:dLbl>
            <c:dLbl>
              <c:idx val="3"/>
              <c:layout>
                <c:manualLayout>
                  <c:x val="3.9170665561262131E-3"/>
                  <c:y val="1.906524158177793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DB-4697-958D-C0BF654788EB}"/>
                </c:ext>
              </c:extLst>
            </c:dLbl>
            <c:dLbl>
              <c:idx val="4"/>
              <c:layout>
                <c:manualLayout>
                  <c:x val="-8.8880707646261242E-2"/>
                  <c:y val="5.33070286564084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DB-4697-958D-C0BF654788EB}"/>
                </c:ext>
              </c:extLst>
            </c:dLbl>
            <c:dLbl>
              <c:idx val="5"/>
              <c:layout>
                <c:manualLayout>
                  <c:x val="-7.2926628773773802E-2"/>
                  <c:y val="5.33070286564084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FDB-4697-958D-C0BF654788EB}"/>
                </c:ext>
              </c:extLst>
            </c:dLbl>
            <c:dLbl>
              <c:idx val="6"/>
              <c:layout>
                <c:manualLayout>
                  <c:x val="-0.11932551587496752"/>
                  <c:y val="1.4173557713973614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DB-4697-958D-C0BF654788E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Data!$F$6:$F$12</c:f>
              <c:numCache>
                <c:formatCode>General</c:formatCode>
                <c:ptCount val="7"/>
                <c:pt idx="0">
                  <c:v>-6.5000000000000002E-2</c:v>
                </c:pt>
                <c:pt idx="1">
                  <c:v>-4.4999999999999998E-2</c:v>
                </c:pt>
                <c:pt idx="2">
                  <c:v>4.4999999999999998E-2</c:v>
                </c:pt>
                <c:pt idx="3">
                  <c:v>6.5000000000000002E-2</c:v>
                </c:pt>
                <c:pt idx="4">
                  <c:v>6.5000000000000002E-2</c:v>
                </c:pt>
                <c:pt idx="5">
                  <c:v>-6.5000000000000002E-2</c:v>
                </c:pt>
                <c:pt idx="6">
                  <c:v>-6.5000000000000002E-2</c:v>
                </c:pt>
              </c:numCache>
            </c:numRef>
          </c:xVal>
          <c:yVal>
            <c:numRef>
              <c:f>Data!$G$6:$G$12</c:f>
              <c:numCache>
                <c:formatCode>General</c:formatCode>
                <c:ptCount val="7"/>
                <c:pt idx="0">
                  <c:v>5500</c:v>
                </c:pt>
                <c:pt idx="1">
                  <c:v>6050</c:v>
                </c:pt>
                <c:pt idx="2">
                  <c:v>6050</c:v>
                </c:pt>
                <c:pt idx="3">
                  <c:v>5500</c:v>
                </c:pt>
                <c:pt idx="4">
                  <c:v>3760</c:v>
                </c:pt>
                <c:pt idx="5">
                  <c:v>3760</c:v>
                </c:pt>
                <c:pt idx="6">
                  <c:v>5500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E7A-432C-9135-15E5E204F4A2}"/>
            </c:ext>
          </c:extLst>
        </c:ser>
        <c:ser>
          <c:idx val="0"/>
          <c:order val="1"/>
          <c:tx>
            <c:v>limit line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Data!$E$21:$E$22</c:f>
              <c:numCache>
                <c:formatCode>General</c:formatCode>
                <c:ptCount val="2"/>
                <c:pt idx="0">
                  <c:v>-0.2</c:v>
                </c:pt>
                <c:pt idx="1">
                  <c:v>0.2</c:v>
                </c:pt>
              </c:numCache>
            </c:numRef>
          </c:xVal>
          <c:yVal>
            <c:numRef>
              <c:f>Data!$F$21:$F$22</c:f>
              <c:numCache>
                <c:formatCode>General</c:formatCode>
                <c:ptCount val="2"/>
                <c:pt idx="0">
                  <c:v>6100</c:v>
                </c:pt>
                <c:pt idx="1">
                  <c:v>6100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E7A-432C-9135-15E5E204F4A2}"/>
            </c:ext>
          </c:extLst>
        </c:ser>
        <c:ser>
          <c:idx val="2"/>
          <c:order val="2"/>
          <c:tx>
            <c:v>CG LAT DATA</c:v>
          </c:tx>
          <c:marker>
            <c:symbol val="none"/>
          </c:marker>
          <c:dLbls>
            <c:delete val="1"/>
          </c:dLbls>
          <c:xVal>
            <c:numRef>
              <c:f>Data!$F$15:$F$17</c:f>
              <c:numCache>
                <c:formatCode>0.00</c:formatCode>
                <c:ptCount val="3"/>
                <c:pt idx="0" formatCode="0.000">
                  <c:v>8.0873424269650666E-3</c:v>
                </c:pt>
                <c:pt idx="1">
                  <c:v>7.0479369171998684E-3</c:v>
                </c:pt>
                <c:pt idx="2" formatCode="0.000">
                  <c:v>6.7286332369352964E-3</c:v>
                </c:pt>
              </c:numCache>
            </c:numRef>
          </c:xVal>
          <c:yVal>
            <c:numRef>
              <c:f>Data!$G$15:$G$17</c:f>
              <c:numCache>
                <c:formatCode>0.00;[Red]0.00</c:formatCode>
                <c:ptCount val="3"/>
                <c:pt idx="0">
                  <c:v>4407.4799999999996</c:v>
                </c:pt>
                <c:pt idx="1">
                  <c:v>5057.4799999999996</c:v>
                </c:pt>
                <c:pt idx="2">
                  <c:v>5297.48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E7A-432C-9135-15E5E204F4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713126976"/>
        <c:axId val="713127552"/>
      </c:scatterChart>
      <c:valAx>
        <c:axId val="713126976"/>
        <c:scaling>
          <c:orientation val="minMax"/>
          <c:max val="0.2"/>
          <c:min val="-0.1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713127552"/>
        <c:crosses val="autoZero"/>
        <c:crossBetween val="midCat"/>
        <c:majorUnit val="5.000000000000001E-2"/>
      </c:valAx>
      <c:valAx>
        <c:axId val="713127552"/>
        <c:scaling>
          <c:orientation val="minMax"/>
          <c:max val="6500"/>
          <c:min val="3000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713126976"/>
        <c:crossesAt val="-0.25"/>
        <c:crossBetween val="midCat"/>
        <c:majorUnit val="500"/>
        <c:minorUnit val="1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174171</xdr:colOff>
      <xdr:row>0</xdr:row>
      <xdr:rowOff>30480</xdr:rowOff>
    </xdr:from>
    <xdr:to>
      <xdr:col>3</xdr:col>
      <xdr:colOff>119743</xdr:colOff>
      <xdr:row>2</xdr:row>
      <xdr:rowOff>250372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FC5F3A-DC9D-4224-8EAF-5E4273FF6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6314" y="30480"/>
          <a:ext cx="1110343" cy="590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38101</xdr:colOff>
      <xdr:row>101</xdr:row>
      <xdr:rowOff>144780</xdr:rowOff>
    </xdr:from>
    <xdr:to>
      <xdr:col>21</xdr:col>
      <xdr:colOff>0</xdr:colOff>
      <xdr:row>156</xdr:row>
      <xdr:rowOff>38099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C17A0202-9443-49B7-981B-30C86D8DA534}"/>
            </a:ext>
          </a:extLst>
        </xdr:cNvPr>
        <xdr:cNvSpPr/>
      </xdr:nvSpPr>
      <xdr:spPr>
        <a:xfrm>
          <a:off x="6637021" y="18691860"/>
          <a:ext cx="6416039" cy="9951719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  <a:p>
          <a:pPr algn="l"/>
          <a:endParaRPr lang="en-IN" sz="1100"/>
        </a:p>
        <a:p>
          <a:pPr algn="l"/>
          <a:r>
            <a:rPr lang="en-IN" sz="1100"/>
            <a:t>	Ins</a:t>
          </a:r>
        </a:p>
      </xdr:txBody>
    </xdr:sp>
    <xdr:clientData/>
  </xdr:twoCellAnchor>
  <xdr:twoCellAnchor>
    <xdr:from>
      <xdr:col>0</xdr:col>
      <xdr:colOff>0</xdr:colOff>
      <xdr:row>103</xdr:row>
      <xdr:rowOff>20782</xdr:rowOff>
    </xdr:from>
    <xdr:to>
      <xdr:col>21</xdr:col>
      <xdr:colOff>0</xdr:colOff>
      <xdr:row>129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53A1271-F10E-4B32-B73C-501AD2FDE4D4}"/>
            </a:ext>
          </a:extLst>
        </xdr:cNvPr>
        <xdr:cNvSpPr/>
      </xdr:nvSpPr>
      <xdr:spPr>
        <a:xfrm>
          <a:off x="0" y="18933622"/>
          <a:ext cx="13053060" cy="473409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533408</xdr:colOff>
      <xdr:row>49</xdr:row>
      <xdr:rowOff>141286</xdr:rowOff>
    </xdr:from>
    <xdr:to>
      <xdr:col>8</xdr:col>
      <xdr:colOff>9869</xdr:colOff>
      <xdr:row>51</xdr:row>
      <xdr:rowOff>50802</xdr:rowOff>
    </xdr:to>
    <xdr:sp macro="" textlink="">
      <xdr:nvSpPr>
        <xdr:cNvPr id="48" name="TextBox 8">
          <a:extLst>
            <a:ext uri="{FF2B5EF4-FFF2-40B4-BE49-F238E27FC236}">
              <a16:creationId xmlns:a16="http://schemas.microsoft.com/office/drawing/2014/main" id="{B54938EF-A5E0-4907-A5E9-9B9AD0465DA7}"/>
            </a:ext>
          </a:extLst>
        </xdr:cNvPr>
        <xdr:cNvSpPr txBox="1"/>
      </xdr:nvSpPr>
      <xdr:spPr>
        <a:xfrm>
          <a:off x="4521208" y="9259886"/>
          <a:ext cx="251161" cy="265116"/>
        </a:xfrm>
        <a:prstGeom prst="rect">
          <a:avLst/>
        </a:prstGeom>
        <a:noFill/>
        <a:ln>
          <a:noFill/>
        </a:ln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 sz="1000"/>
        </a:p>
      </xdr:txBody>
    </xdr:sp>
    <xdr:clientData/>
  </xdr:twoCellAnchor>
  <xdr:twoCellAnchor>
    <xdr:from>
      <xdr:col>10</xdr:col>
      <xdr:colOff>676729</xdr:colOff>
      <xdr:row>4</xdr:row>
      <xdr:rowOff>149498</xdr:rowOff>
    </xdr:from>
    <xdr:to>
      <xdr:col>16</xdr:col>
      <xdr:colOff>346529</xdr:colOff>
      <xdr:row>19</xdr:row>
      <xdr:rowOff>185057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1FC2739-6B15-4A54-9BCB-1C5C9F5AC78D}"/>
            </a:ext>
          </a:extLst>
        </xdr:cNvPr>
        <xdr:cNvGrpSpPr/>
      </xdr:nvGrpSpPr>
      <xdr:grpSpPr>
        <a:xfrm>
          <a:off x="6990443" y="998584"/>
          <a:ext cx="3610429" cy="2876730"/>
          <a:chOff x="6435271" y="1129213"/>
          <a:chExt cx="3610429" cy="2604587"/>
        </a:xfrm>
      </xdr:grpSpPr>
      <xdr:graphicFrame macro="">
        <xdr:nvGraphicFramePr>
          <xdr:cNvPr id="15" name="Chart 14">
            <a:extLst>
              <a:ext uri="{FF2B5EF4-FFF2-40B4-BE49-F238E27FC236}">
                <a16:creationId xmlns:a16="http://schemas.microsoft.com/office/drawing/2014/main" id="{AED58549-34DC-4E4D-BA7A-71B6D5086CFA}"/>
              </a:ext>
            </a:extLst>
          </xdr:cNvPr>
          <xdr:cNvGraphicFramePr>
            <a:graphicFrameLocks/>
          </xdr:cNvGraphicFramePr>
        </xdr:nvGraphicFramePr>
        <xdr:xfrm>
          <a:off x="6435271" y="1129213"/>
          <a:ext cx="3610429" cy="26045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5E38F7A9-C14C-4AA8-B378-BEC32D48FABD}"/>
              </a:ext>
            </a:extLst>
          </xdr:cNvPr>
          <xdr:cNvSpPr txBox="1"/>
        </xdr:nvSpPr>
        <xdr:spPr>
          <a:xfrm>
            <a:off x="6796314" y="3462383"/>
            <a:ext cx="2723243" cy="2438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900" b="1"/>
              <a:t>Fig 1- Allowable C.G</a:t>
            </a:r>
            <a:r>
              <a:rPr lang="en-US" sz="900" b="1" baseline="0"/>
              <a:t> envelope (Longitudinal) (Take Off)</a:t>
            </a:r>
            <a:endParaRPr lang="en-US" sz="900" b="1"/>
          </a:p>
        </xdr:txBody>
      </xdr:sp>
    </xdr:grpSp>
    <xdr:clientData/>
  </xdr:twoCellAnchor>
  <xdr:twoCellAnchor>
    <xdr:from>
      <xdr:col>10</xdr:col>
      <xdr:colOff>635000</xdr:colOff>
      <xdr:row>33</xdr:row>
      <xdr:rowOff>38100</xdr:rowOff>
    </xdr:from>
    <xdr:to>
      <xdr:col>16</xdr:col>
      <xdr:colOff>78913</xdr:colOff>
      <xdr:row>34</xdr:row>
      <xdr:rowOff>73495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57A43F6-BA3B-4F82-864D-B2CA3A70EDA7}"/>
            </a:ext>
          </a:extLst>
        </xdr:cNvPr>
        <xdr:cNvSpPr txBox="1"/>
      </xdr:nvSpPr>
      <xdr:spPr>
        <a:xfrm>
          <a:off x="6896100" y="6121400"/>
          <a:ext cx="3380913" cy="2131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900" b="1"/>
            <a:t>Fig 2-</a:t>
          </a:r>
          <a:r>
            <a:rPr lang="en-US" sz="900" b="1" baseline="0"/>
            <a:t> </a:t>
          </a:r>
          <a:r>
            <a:rPr lang="en-US" sz="900" b="1"/>
            <a:t>Allowable C.G</a:t>
          </a:r>
          <a:r>
            <a:rPr lang="en-US" sz="900" b="1" baseline="0"/>
            <a:t> envelope (Lateral)(Take Off)</a:t>
          </a:r>
          <a:endParaRPr lang="en-US" sz="900" b="1"/>
        </a:p>
      </xdr:txBody>
    </xdr:sp>
    <xdr:clientData/>
  </xdr:twoCellAnchor>
  <xdr:twoCellAnchor>
    <xdr:from>
      <xdr:col>10</xdr:col>
      <xdr:colOff>678544</xdr:colOff>
      <xdr:row>21</xdr:row>
      <xdr:rowOff>157842</xdr:rowOff>
    </xdr:from>
    <xdr:to>
      <xdr:col>16</xdr:col>
      <xdr:colOff>296190</xdr:colOff>
      <xdr:row>35</xdr:row>
      <xdr:rowOff>119742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93F79BDF-09CC-4058-8D3F-79A39917D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206828</xdr:colOff>
      <xdr:row>0</xdr:row>
      <xdr:rowOff>43542</xdr:rowOff>
    </xdr:from>
    <xdr:to>
      <xdr:col>16</xdr:col>
      <xdr:colOff>707571</xdr:colOff>
      <xdr:row>2</xdr:row>
      <xdr:rowOff>263434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FB817C4-0873-4248-841C-651AD86975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1571" y="43542"/>
          <a:ext cx="1110343" cy="590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0.01759</cdr:x>
      <cdr:y>0.26256</cdr:y>
    </cdr:from>
    <cdr:to>
      <cdr:x>0.07188</cdr:x>
      <cdr:y>0.63639</cdr:y>
    </cdr:to>
    <cdr:sp macro="" textlink="">
      <cdr:nvSpPr>
        <cdr:cNvPr id="2" name="TextBox 16">
          <a:extLst xmlns:a="http://schemas.openxmlformats.org/drawingml/2006/main">
            <a:ext uri="{FF2B5EF4-FFF2-40B4-BE49-F238E27FC236}">
              <a16:creationId xmlns:a16="http://schemas.microsoft.com/office/drawing/2014/main" id="{27A5B459-F2C7-42AC-9645-BBB3FEC64208}"/>
            </a:ext>
          </a:extLst>
        </cdr:cNvPr>
        <cdr:cNvSpPr txBox="1"/>
      </cdr:nvSpPr>
      <cdr:spPr>
        <a:xfrm xmlns:a="http://schemas.openxmlformats.org/drawingml/2006/main" rot="16200000">
          <a:off x="-325315" y="1072679"/>
          <a:ext cx="973666" cy="196034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latin typeface="Arial Narrow" panose="020B0606020202030204" pitchFamily="34" charset="0"/>
            </a:rPr>
            <a:t>GROSS</a:t>
          </a:r>
          <a:r>
            <a:rPr lang="en-US" sz="800" b="1" baseline="0">
              <a:latin typeface="Arial Narrow" panose="020B0606020202030204" pitchFamily="34" charset="0"/>
            </a:rPr>
            <a:t> MASS  KG </a:t>
          </a:r>
          <a:endParaRPr lang="en-US" sz="800" b="1">
            <a:latin typeface="Arial Narrow" panose="020B0606020202030204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0.00316</cdr:x>
      <cdr:y>0.28023</cdr:y>
    </cdr:from>
    <cdr:to>
      <cdr:x>0.05607</cdr:x>
      <cdr:y>0.6788</cdr:y>
    </cdr:to>
    <cdr:sp macro="" textlink="">
      <cdr:nvSpPr>
        <cdr:cNvPr id="2" name="TextBox 43">
          <a:extLst xmlns:a="http://schemas.openxmlformats.org/drawingml/2006/main">
            <a:ext uri="{FF2B5EF4-FFF2-40B4-BE49-F238E27FC236}">
              <a16:creationId xmlns:a16="http://schemas.microsoft.com/office/drawing/2014/main" id="{DE68C290-54D5-408F-87F5-AF424CDFB491}"/>
            </a:ext>
          </a:extLst>
        </cdr:cNvPr>
        <cdr:cNvSpPr txBox="1"/>
      </cdr:nvSpPr>
      <cdr:spPr>
        <a:xfrm xmlns:a="http://schemas.openxmlformats.org/drawingml/2006/main" rot="16200000">
          <a:off x="-408500" y="1142199"/>
          <a:ext cx="1027553" cy="188077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latin typeface="Arial Narrow" panose="020B0606020202030204" pitchFamily="34" charset="0"/>
            </a:rPr>
            <a:t>GROSS</a:t>
          </a:r>
          <a:r>
            <a:rPr lang="en-US" sz="800" b="1" baseline="0">
              <a:latin typeface="Arial Narrow" panose="020B0606020202030204" pitchFamily="34" charset="0"/>
            </a:rPr>
            <a:t> MASS  KG </a:t>
          </a:r>
          <a:endParaRPr lang="en-US" sz="800" b="1"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0.10361</cdr:x>
      <cdr:y>0.89346</cdr:y>
    </cdr:from>
    <cdr:to>
      <cdr:x>0.86819</cdr:x>
      <cdr:y>0.98522</cdr:y>
    </cdr:to>
    <cdr:sp macro="" textlink="">
      <cdr:nvSpPr>
        <cdr:cNvPr id="3" name="TextBox 26">
          <a:extLst xmlns:a="http://schemas.openxmlformats.org/drawingml/2006/main">
            <a:ext uri="{FF2B5EF4-FFF2-40B4-BE49-F238E27FC236}">
              <a16:creationId xmlns:a16="http://schemas.microsoft.com/office/drawing/2014/main" id="{5E38F7A9-C14C-4AA8-B378-BEC32D48FABD}"/>
            </a:ext>
          </a:extLst>
        </cdr:cNvPr>
        <cdr:cNvSpPr txBox="1"/>
      </cdr:nvSpPr>
      <cdr:spPr>
        <a:xfrm xmlns:a="http://schemas.openxmlformats.org/drawingml/2006/main">
          <a:off x="368300" y="2303440"/>
          <a:ext cx="2717800" cy="23656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 b="1"/>
            <a:t>Fig 2- Allowable C.G</a:t>
          </a:r>
          <a:r>
            <a:rPr lang="en-US" sz="900" b="1" baseline="0"/>
            <a:t> envelope (Lateral) (Take Off)</a:t>
          </a:r>
          <a:endParaRPr lang="en-US" sz="9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A74F0-6696-453E-84F1-8BED72DF74C4}">
  <sheetPr codeName="Sheet1"/>
  <dimension ref="A1:U98"/>
  <sheetViews>
    <sheetView tabSelected="1" topLeftCell="A6" zoomScale="70" zoomScaleNormal="70" zoomScalePageLayoutView="70" workbookViewId="0">
      <selection activeCell="H44" sqref="H44"/>
    </sheetView>
  </sheetViews>
  <sheetFormatPr defaultColWidth="0" defaultRowHeight="14.4" zeroHeight="1" outlineLevelCol="1" x14ac:dyDescent="0.3"/>
  <cols>
    <col min="1" max="1" width="3.88671875" style="2" customWidth="1"/>
    <col min="2" max="2" width="9.33203125" style="2" customWidth="1"/>
    <col min="3" max="3" width="7.5546875" style="2" customWidth="1"/>
    <col min="4" max="4" width="8.77734375" style="2" customWidth="1"/>
    <col min="5" max="5" width="8.44140625" style="2" customWidth="1"/>
    <col min="6" max="6" width="11.33203125" style="2" customWidth="1"/>
    <col min="7" max="7" width="9.44140625" style="2" bestFit="1" customWidth="1"/>
    <col min="8" max="8" width="11.21875" style="2" customWidth="1"/>
    <col min="9" max="9" width="11.6640625" style="2" bestFit="1" customWidth="1"/>
    <col min="10" max="10" width="10.109375" style="2" customWidth="1"/>
    <col min="11" max="11" width="13.88671875" style="2" customWidth="1"/>
    <col min="12" max="14" width="8.88671875" style="2" customWidth="1"/>
    <col min="15" max="15" width="7.88671875" style="2" bestFit="1" customWidth="1"/>
    <col min="16" max="16" width="8.88671875" style="2" customWidth="1"/>
    <col min="17" max="17" width="12.5546875" style="2" customWidth="1"/>
    <col min="18" max="18" width="0" style="2" hidden="1" customWidth="1" outlineLevel="1"/>
    <col min="19" max="21" width="0" style="2" hidden="1" customWidth="1"/>
    <col min="22" max="16384" width="12.5546875" style="2" hidden="1"/>
  </cols>
  <sheetData>
    <row r="1" spans="1:17" ht="14.4" customHeight="1" x14ac:dyDescent="0.3">
      <c r="A1" s="139" t="s">
        <v>36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17" x14ac:dyDescent="0.3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</row>
    <row r="3" spans="1:17" ht="23.4" customHeight="1" x14ac:dyDescent="0.3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</row>
    <row r="4" spans="1:17" x14ac:dyDescent="0.3">
      <c r="B4" s="113" t="s">
        <v>39</v>
      </c>
      <c r="C4" s="126"/>
      <c r="D4" s="126"/>
      <c r="E4" s="114"/>
      <c r="F4" s="110" t="s">
        <v>37</v>
      </c>
      <c r="G4" s="110"/>
      <c r="H4" s="110"/>
      <c r="I4" s="110"/>
      <c r="J4" s="110"/>
      <c r="K4" s="107" t="s">
        <v>57</v>
      </c>
      <c r="L4" s="108"/>
      <c r="M4" s="109"/>
      <c r="N4" s="107" t="s">
        <v>58</v>
      </c>
      <c r="O4" s="108"/>
      <c r="P4" s="108"/>
      <c r="Q4" s="109"/>
    </row>
    <row r="5" spans="1:17" x14ac:dyDescent="0.3">
      <c r="A5" s="50"/>
      <c r="K5" s="33"/>
      <c r="M5" s="38"/>
      <c r="N5" s="39"/>
      <c r="O5" s="48"/>
    </row>
    <row r="6" spans="1:17" ht="15.6" customHeight="1" thickBot="1" x14ac:dyDescent="0.35">
      <c r="A6" s="51"/>
      <c r="B6" s="107" t="s">
        <v>38</v>
      </c>
      <c r="C6" s="108"/>
      <c r="D6" s="109"/>
    </row>
    <row r="7" spans="1:17" x14ac:dyDescent="0.3">
      <c r="G7" s="23" t="s">
        <v>9</v>
      </c>
      <c r="H7" s="25"/>
      <c r="I7" s="28"/>
      <c r="J7" s="36" t="s">
        <v>1</v>
      </c>
    </row>
    <row r="8" spans="1:17" ht="14.4" customHeight="1" thickBot="1" x14ac:dyDescent="0.35">
      <c r="B8" s="160" t="s">
        <v>40</v>
      </c>
      <c r="C8" s="160"/>
      <c r="D8" s="155" t="s">
        <v>68</v>
      </c>
      <c r="E8" s="155"/>
      <c r="F8" s="155"/>
      <c r="G8" s="18">
        <v>80</v>
      </c>
      <c r="H8" s="26"/>
      <c r="I8" s="27"/>
      <c r="J8" s="37">
        <v>85</v>
      </c>
    </row>
    <row r="9" spans="1:17" x14ac:dyDescent="0.3">
      <c r="B9" s="53" t="s">
        <v>43</v>
      </c>
      <c r="C9" s="54"/>
      <c r="D9" s="156" t="s">
        <v>68</v>
      </c>
      <c r="E9" s="156"/>
      <c r="F9" s="157"/>
      <c r="G9" s="23" t="s">
        <v>21</v>
      </c>
      <c r="H9" s="23" t="s">
        <v>20</v>
      </c>
      <c r="I9" s="23" t="s">
        <v>19</v>
      </c>
      <c r="J9" s="23" t="s">
        <v>18</v>
      </c>
    </row>
    <row r="10" spans="1:17" ht="15" thickBot="1" x14ac:dyDescent="0.35">
      <c r="G10" s="19">
        <v>56</v>
      </c>
      <c r="H10" s="19">
        <v>45</v>
      </c>
      <c r="I10" s="19">
        <v>45</v>
      </c>
      <c r="J10" s="19">
        <v>45</v>
      </c>
    </row>
    <row r="11" spans="1:17" x14ac:dyDescent="0.3">
      <c r="B11" s="159" t="s">
        <v>7</v>
      </c>
      <c r="C11" s="158" t="s">
        <v>68</v>
      </c>
      <c r="D11" s="158"/>
      <c r="F11" s="35"/>
      <c r="G11" s="55"/>
      <c r="H11" s="103" t="s">
        <v>10</v>
      </c>
      <c r="I11" s="104"/>
      <c r="J11" s="55"/>
    </row>
    <row r="12" spans="1:17" ht="15" thickBot="1" x14ac:dyDescent="0.35">
      <c r="F12" s="27"/>
      <c r="G12" s="55"/>
      <c r="H12" s="105">
        <v>890</v>
      </c>
      <c r="I12" s="106"/>
      <c r="J12" s="55"/>
    </row>
    <row r="13" spans="1:17" x14ac:dyDescent="0.3">
      <c r="G13" s="101" t="s">
        <v>67</v>
      </c>
      <c r="H13" s="102"/>
      <c r="I13" s="101" t="s">
        <v>66</v>
      </c>
      <c r="J13" s="102"/>
    </row>
    <row r="14" spans="1:17" ht="15" thickBot="1" x14ac:dyDescent="0.35">
      <c r="G14" s="115">
        <v>0</v>
      </c>
      <c r="H14" s="116"/>
      <c r="I14" s="115">
        <v>0</v>
      </c>
      <c r="J14" s="116"/>
    </row>
    <row r="15" spans="1:17" x14ac:dyDescent="0.3">
      <c r="G15" s="3"/>
      <c r="H15" s="56" t="s">
        <v>26</v>
      </c>
      <c r="I15" s="96">
        <v>30</v>
      </c>
    </row>
    <row r="16" spans="1:17" x14ac:dyDescent="0.3">
      <c r="H16" s="29" t="s">
        <v>27</v>
      </c>
      <c r="I16" s="94">
        <v>23</v>
      </c>
    </row>
    <row r="17" spans="1:17" ht="15" thickBot="1" x14ac:dyDescent="0.35">
      <c r="H17" s="30" t="s">
        <v>28</v>
      </c>
      <c r="I17" s="95">
        <v>21</v>
      </c>
    </row>
    <row r="18" spans="1:17" x14ac:dyDescent="0.3">
      <c r="K18" s="142"/>
      <c r="L18" s="143"/>
      <c r="M18" s="143"/>
      <c r="N18" s="143"/>
      <c r="O18" s="143"/>
    </row>
    <row r="19" spans="1:17" ht="15.6" customHeight="1" x14ac:dyDescent="0.3">
      <c r="B19" s="127" t="s">
        <v>5</v>
      </c>
      <c r="C19" s="146" t="s">
        <v>6</v>
      </c>
      <c r="D19" s="147"/>
      <c r="E19" s="121" t="s">
        <v>44</v>
      </c>
      <c r="F19" s="127" t="s">
        <v>29</v>
      </c>
      <c r="G19" s="127" t="s">
        <v>45</v>
      </c>
      <c r="H19" s="127" t="s">
        <v>41</v>
      </c>
      <c r="I19" s="127" t="s">
        <v>42</v>
      </c>
      <c r="K19" s="11"/>
      <c r="L19" s="45"/>
      <c r="M19" s="12"/>
      <c r="N19" s="46"/>
    </row>
    <row r="20" spans="1:17" ht="15" customHeight="1" x14ac:dyDescent="0.3">
      <c r="A20" s="52"/>
      <c r="B20" s="128"/>
      <c r="C20" s="148"/>
      <c r="D20" s="149"/>
      <c r="E20" s="122"/>
      <c r="F20" s="128"/>
      <c r="G20" s="128"/>
      <c r="H20" s="128"/>
      <c r="I20" s="128"/>
      <c r="K20" s="13"/>
      <c r="L20" s="66"/>
      <c r="M20" s="1"/>
      <c r="N20" s="1"/>
    </row>
    <row r="21" spans="1:17" x14ac:dyDescent="0.3">
      <c r="A21" s="52"/>
      <c r="B21" s="9">
        <v>1</v>
      </c>
      <c r="C21" s="117" t="s">
        <v>0</v>
      </c>
      <c r="D21" s="118"/>
      <c r="E21" s="5">
        <v>3977.48</v>
      </c>
      <c r="F21" s="4">
        <v>5.42</v>
      </c>
      <c r="G21" s="6">
        <f t="shared" ref="G21:G32" si="0">F21*E21</f>
        <v>21557.941599999998</v>
      </c>
      <c r="H21" s="4">
        <v>0.01</v>
      </c>
      <c r="I21" s="6">
        <f t="shared" ref="I21:I32" si="1">H21*E21</f>
        <v>39.774799999999999</v>
      </c>
    </row>
    <row r="22" spans="1:17" x14ac:dyDescent="0.3">
      <c r="A22" s="8"/>
      <c r="B22" s="9">
        <v>2</v>
      </c>
      <c r="C22" s="117" t="s">
        <v>1</v>
      </c>
      <c r="D22" s="118"/>
      <c r="E22" s="10">
        <f>J8</f>
        <v>85</v>
      </c>
      <c r="F22" s="4">
        <v>2.819</v>
      </c>
      <c r="G22" s="6">
        <f t="shared" si="0"/>
        <v>239.61500000000001</v>
      </c>
      <c r="H22" s="4">
        <v>0.56000000000000005</v>
      </c>
      <c r="I22" s="6">
        <f t="shared" si="1"/>
        <v>47.6</v>
      </c>
    </row>
    <row r="23" spans="1:17" ht="14.4" customHeight="1" x14ac:dyDescent="0.3">
      <c r="A23" s="8"/>
      <c r="B23" s="9">
        <v>3</v>
      </c>
      <c r="C23" s="117" t="s">
        <v>2</v>
      </c>
      <c r="D23" s="118"/>
      <c r="E23" s="10">
        <f>G8</f>
        <v>80</v>
      </c>
      <c r="F23" s="4">
        <v>2.819</v>
      </c>
      <c r="G23" s="6">
        <f t="shared" si="0"/>
        <v>225.51999999999998</v>
      </c>
      <c r="H23" s="4">
        <v>-0.56000000000000005</v>
      </c>
      <c r="I23" s="6">
        <f t="shared" si="1"/>
        <v>-44.800000000000004</v>
      </c>
    </row>
    <row r="24" spans="1:17" x14ac:dyDescent="0.3">
      <c r="A24" s="8"/>
      <c r="B24" s="9">
        <v>4</v>
      </c>
      <c r="C24" s="117" t="s">
        <v>22</v>
      </c>
      <c r="D24" s="118"/>
      <c r="E24" s="10">
        <f>J10</f>
        <v>45</v>
      </c>
      <c r="F24" s="4">
        <v>3.92</v>
      </c>
      <c r="G24" s="6">
        <f t="shared" si="0"/>
        <v>176.4</v>
      </c>
      <c r="H24" s="4">
        <v>0.63</v>
      </c>
      <c r="I24" s="6">
        <f t="shared" si="1"/>
        <v>28.35</v>
      </c>
    </row>
    <row r="25" spans="1:17" x14ac:dyDescent="0.3">
      <c r="A25" s="8"/>
      <c r="B25" s="9">
        <v>5</v>
      </c>
      <c r="C25" s="117" t="s">
        <v>23</v>
      </c>
      <c r="D25" s="118"/>
      <c r="E25" s="10">
        <f>I10</f>
        <v>45</v>
      </c>
      <c r="F25" s="4">
        <v>3.92</v>
      </c>
      <c r="G25" s="6">
        <f t="shared" si="0"/>
        <v>176.4</v>
      </c>
      <c r="H25" s="4">
        <v>0.21</v>
      </c>
      <c r="I25" s="6">
        <f t="shared" si="1"/>
        <v>9.4499999999999993</v>
      </c>
      <c r="P25" s="40"/>
      <c r="Q25" s="40"/>
    </row>
    <row r="26" spans="1:17" x14ac:dyDescent="0.3">
      <c r="A26" s="8"/>
      <c r="B26" s="9">
        <v>6</v>
      </c>
      <c r="C26" s="117" t="s">
        <v>24</v>
      </c>
      <c r="D26" s="118"/>
      <c r="E26" s="10">
        <f>H10</f>
        <v>45</v>
      </c>
      <c r="F26" s="4">
        <v>3.92</v>
      </c>
      <c r="G26" s="6">
        <f t="shared" si="0"/>
        <v>176.4</v>
      </c>
      <c r="H26" s="4">
        <v>-0.21</v>
      </c>
      <c r="I26" s="6">
        <f t="shared" si="1"/>
        <v>-9.4499999999999993</v>
      </c>
      <c r="P26" s="40"/>
      <c r="Q26" s="40"/>
    </row>
    <row r="27" spans="1:17" x14ac:dyDescent="0.3">
      <c r="A27" s="8"/>
      <c r="B27" s="9">
        <v>7</v>
      </c>
      <c r="C27" s="117" t="s">
        <v>25</v>
      </c>
      <c r="D27" s="118"/>
      <c r="E27" s="10">
        <f>G10</f>
        <v>56</v>
      </c>
      <c r="F27" s="4">
        <v>3.92</v>
      </c>
      <c r="G27" s="6">
        <f t="shared" si="0"/>
        <v>219.51999999999998</v>
      </c>
      <c r="H27" s="4">
        <v>-0.63</v>
      </c>
      <c r="I27" s="6">
        <f t="shared" si="1"/>
        <v>-35.28</v>
      </c>
      <c r="M27" s="40"/>
      <c r="N27" s="40"/>
      <c r="O27" s="40"/>
      <c r="P27" s="40"/>
      <c r="Q27" s="40"/>
    </row>
    <row r="28" spans="1:17" x14ac:dyDescent="0.3">
      <c r="A28" s="8"/>
      <c r="B28" s="9">
        <v>8</v>
      </c>
      <c r="C28" s="117" t="s">
        <v>66</v>
      </c>
      <c r="D28" s="118"/>
      <c r="E28" s="10">
        <f>I14</f>
        <v>0</v>
      </c>
      <c r="F28" s="4">
        <v>5.46</v>
      </c>
      <c r="G28" s="6">
        <f t="shared" si="0"/>
        <v>0</v>
      </c>
      <c r="H28" s="4">
        <v>0.44</v>
      </c>
      <c r="I28" s="6">
        <f t="shared" si="1"/>
        <v>0</v>
      </c>
      <c r="M28" s="40"/>
      <c r="N28" s="40"/>
      <c r="O28" s="40"/>
      <c r="P28" s="40"/>
      <c r="Q28" s="40"/>
    </row>
    <row r="29" spans="1:17" x14ac:dyDescent="0.3">
      <c r="A29" s="8"/>
      <c r="B29" s="9">
        <v>9</v>
      </c>
      <c r="C29" s="117" t="s">
        <v>67</v>
      </c>
      <c r="D29" s="118"/>
      <c r="E29" s="10">
        <f>G14</f>
        <v>0</v>
      </c>
      <c r="F29" s="4">
        <v>5.46</v>
      </c>
      <c r="G29" s="6">
        <f t="shared" si="0"/>
        <v>0</v>
      </c>
      <c r="H29" s="4">
        <v>-0.44</v>
      </c>
      <c r="I29" s="6">
        <f t="shared" si="1"/>
        <v>0</v>
      </c>
      <c r="M29" s="40"/>
      <c r="N29" s="40"/>
      <c r="O29" s="40"/>
      <c r="P29" s="40"/>
      <c r="Q29" s="40"/>
    </row>
    <row r="30" spans="1:17" x14ac:dyDescent="0.3">
      <c r="A30" s="8"/>
      <c r="B30" s="9">
        <v>10</v>
      </c>
      <c r="C30" s="117" t="s">
        <v>63</v>
      </c>
      <c r="D30" s="118"/>
      <c r="E30" s="10">
        <f>I15</f>
        <v>30</v>
      </c>
      <c r="F30" s="4">
        <v>6.5</v>
      </c>
      <c r="G30" s="6">
        <f t="shared" si="0"/>
        <v>195</v>
      </c>
      <c r="H30" s="4">
        <v>0</v>
      </c>
      <c r="I30" s="6">
        <f t="shared" si="1"/>
        <v>0</v>
      </c>
      <c r="M30" s="40"/>
      <c r="N30" s="40"/>
      <c r="O30" s="40"/>
      <c r="P30" s="40"/>
      <c r="Q30" s="40"/>
    </row>
    <row r="31" spans="1:17" x14ac:dyDescent="0.3">
      <c r="A31" s="8"/>
      <c r="B31" s="9">
        <v>11</v>
      </c>
      <c r="C31" s="119" t="s">
        <v>64</v>
      </c>
      <c r="D31" s="120"/>
      <c r="E31" s="10">
        <f>I16</f>
        <v>23</v>
      </c>
      <c r="F31" s="4">
        <v>7.6</v>
      </c>
      <c r="G31" s="6">
        <f t="shared" si="0"/>
        <v>174.79999999999998</v>
      </c>
      <c r="H31" s="4">
        <v>0</v>
      </c>
      <c r="I31" s="6">
        <f t="shared" si="1"/>
        <v>0</v>
      </c>
      <c r="M31" s="40"/>
      <c r="N31" s="40"/>
      <c r="O31" s="40"/>
      <c r="P31" s="40"/>
      <c r="Q31" s="40"/>
    </row>
    <row r="32" spans="1:17" x14ac:dyDescent="0.3">
      <c r="A32" s="8"/>
      <c r="B32" s="9">
        <v>12</v>
      </c>
      <c r="C32" s="119" t="s">
        <v>65</v>
      </c>
      <c r="D32" s="120"/>
      <c r="E32" s="10">
        <f>I17</f>
        <v>21</v>
      </c>
      <c r="F32" s="4">
        <v>8.5</v>
      </c>
      <c r="G32" s="6">
        <f t="shared" si="0"/>
        <v>178.5</v>
      </c>
      <c r="H32" s="4">
        <v>0</v>
      </c>
      <c r="I32" s="6">
        <f t="shared" si="1"/>
        <v>0</v>
      </c>
      <c r="M32" s="40"/>
      <c r="N32" s="40"/>
      <c r="O32" s="40"/>
      <c r="P32" s="40"/>
      <c r="Q32" s="40"/>
    </row>
    <row r="33" spans="1:17" x14ac:dyDescent="0.3">
      <c r="A33" s="8"/>
      <c r="B33" s="76" t="s">
        <v>11</v>
      </c>
      <c r="C33" s="150" t="s">
        <v>30</v>
      </c>
      <c r="D33" s="151"/>
      <c r="E33" s="10">
        <f>SUM(E22:E32)</f>
        <v>430</v>
      </c>
      <c r="F33" s="4"/>
      <c r="G33" s="6"/>
      <c r="H33" s="4"/>
      <c r="I33" s="6"/>
      <c r="M33" s="40"/>
      <c r="N33" s="40"/>
      <c r="O33" s="40"/>
      <c r="P33" s="40"/>
      <c r="Q33" s="40"/>
    </row>
    <row r="34" spans="1:17" ht="18" customHeight="1" x14ac:dyDescent="0.3">
      <c r="A34" s="49"/>
      <c r="B34" s="76" t="s">
        <v>12</v>
      </c>
      <c r="C34" s="130" t="s">
        <v>49</v>
      </c>
      <c r="D34" s="131"/>
      <c r="E34" s="17">
        <v>0</v>
      </c>
      <c r="F34" s="17">
        <v>5.07</v>
      </c>
      <c r="G34" s="17">
        <f>F34*E34</f>
        <v>0</v>
      </c>
      <c r="H34" s="17">
        <v>0</v>
      </c>
      <c r="I34" s="17">
        <f>H34*E34</f>
        <v>0</v>
      </c>
    </row>
    <row r="35" spans="1:17" x14ac:dyDescent="0.3">
      <c r="A35" s="49"/>
      <c r="B35" s="76" t="s">
        <v>13</v>
      </c>
      <c r="C35" s="111" t="s">
        <v>8</v>
      </c>
      <c r="D35" s="112"/>
      <c r="E35" s="5">
        <f>E21+E33</f>
        <v>4407.4799999999996</v>
      </c>
      <c r="F35" s="16"/>
      <c r="G35" s="6">
        <f>SUM(G21:G32)</f>
        <v>23320.096600000004</v>
      </c>
      <c r="H35" s="16"/>
      <c r="I35" s="6">
        <f>SUM(I21:I32)</f>
        <v>35.644799999999989</v>
      </c>
      <c r="K35" s="141"/>
      <c r="L35" s="141"/>
      <c r="M35" s="141"/>
      <c r="N35" s="141"/>
      <c r="O35" s="141"/>
    </row>
    <row r="36" spans="1:17" ht="15.6" x14ac:dyDescent="0.3">
      <c r="A36" s="49"/>
      <c r="B36" s="77" t="s">
        <v>14</v>
      </c>
      <c r="C36" s="113" t="s">
        <v>33</v>
      </c>
      <c r="D36" s="114"/>
      <c r="E36" s="14"/>
      <c r="F36" s="43" t="s">
        <v>34</v>
      </c>
      <c r="G36" s="57">
        <f>G35/E35</f>
        <v>5.2910272082913608</v>
      </c>
      <c r="H36" s="43" t="s">
        <v>35</v>
      </c>
      <c r="I36" s="57">
        <f>I35/E35</f>
        <v>8.0873424269650666E-3</v>
      </c>
      <c r="K36" s="11"/>
      <c r="L36" s="45"/>
      <c r="M36" s="12"/>
      <c r="N36" s="46"/>
      <c r="P36" s="40"/>
      <c r="Q36" s="40"/>
    </row>
    <row r="37" spans="1:17" x14ac:dyDescent="0.3">
      <c r="A37" s="49"/>
      <c r="B37" s="76" t="s">
        <v>15</v>
      </c>
      <c r="C37" s="113" t="s">
        <v>47</v>
      </c>
      <c r="D37" s="114"/>
      <c r="E37" s="14">
        <v>650</v>
      </c>
      <c r="F37" s="14">
        <v>4.62</v>
      </c>
      <c r="G37" s="41">
        <f>F37*E37</f>
        <v>3003</v>
      </c>
      <c r="H37" s="14"/>
      <c r="I37" s="14">
        <f>H37*G37</f>
        <v>0</v>
      </c>
      <c r="K37" s="123" t="s">
        <v>59</v>
      </c>
      <c r="L37" s="124"/>
      <c r="M37" s="124"/>
      <c r="N37" s="124"/>
      <c r="O37" s="124"/>
      <c r="P37" s="124"/>
      <c r="Q37" s="124"/>
    </row>
    <row r="38" spans="1:17" x14ac:dyDescent="0.3">
      <c r="A38" s="49"/>
      <c r="B38" s="77" t="s">
        <v>16</v>
      </c>
      <c r="C38" s="129" t="s">
        <v>50</v>
      </c>
      <c r="D38" s="129"/>
      <c r="E38" s="60">
        <f>E35+E37</f>
        <v>5057.4799999999996</v>
      </c>
      <c r="F38" s="16"/>
      <c r="G38" s="61">
        <f>G35+G37</f>
        <v>26323.096600000004</v>
      </c>
      <c r="H38" s="16"/>
      <c r="I38" s="62">
        <f>I35+I37</f>
        <v>35.644799999999989</v>
      </c>
      <c r="K38" s="125"/>
      <c r="L38" s="125"/>
      <c r="M38" s="125"/>
      <c r="N38" s="125"/>
      <c r="O38" s="125"/>
      <c r="P38" s="125"/>
      <c r="Q38" s="125"/>
    </row>
    <row r="39" spans="1:17" ht="15.6" x14ac:dyDescent="0.3">
      <c r="A39" s="49"/>
      <c r="B39" s="76" t="s">
        <v>17</v>
      </c>
      <c r="C39" s="113" t="s">
        <v>33</v>
      </c>
      <c r="D39" s="114"/>
      <c r="E39" s="22"/>
      <c r="F39" s="43" t="s">
        <v>34</v>
      </c>
      <c r="G39" s="42">
        <f>G38/E38</f>
        <v>5.2047851103711746</v>
      </c>
      <c r="H39" s="24"/>
      <c r="I39" s="42">
        <f>I38/E38</f>
        <v>7.0479369171998684E-3</v>
      </c>
      <c r="K39" s="98" t="s">
        <v>54</v>
      </c>
      <c r="L39" s="132" t="s">
        <v>68</v>
      </c>
      <c r="M39" s="132"/>
      <c r="N39" s="133"/>
      <c r="O39" s="54" t="s">
        <v>55</v>
      </c>
      <c r="P39" s="138" t="s">
        <v>68</v>
      </c>
      <c r="Q39" s="133"/>
    </row>
    <row r="40" spans="1:17" x14ac:dyDescent="0.3">
      <c r="A40" s="8"/>
      <c r="B40" s="76" t="s">
        <v>51</v>
      </c>
      <c r="C40" s="113" t="s">
        <v>46</v>
      </c>
      <c r="D40" s="114"/>
      <c r="E40" s="14">
        <f>H12</f>
        <v>890</v>
      </c>
      <c r="F40" s="41">
        <f>VLOOKUP(E40,Data!I4:K134,2,FALSE)</f>
        <v>5.0712999999999999</v>
      </c>
      <c r="G40" s="41">
        <f>F40*E40</f>
        <v>4513.4570000000003</v>
      </c>
      <c r="H40" s="14"/>
      <c r="I40" s="14">
        <f>H40*G40</f>
        <v>0</v>
      </c>
      <c r="K40" s="69"/>
      <c r="L40" s="69"/>
      <c r="M40" s="69"/>
      <c r="N40" s="69"/>
      <c r="O40" s="69"/>
      <c r="P40" s="69"/>
      <c r="Q40" s="69"/>
    </row>
    <row r="41" spans="1:17" x14ac:dyDescent="0.3">
      <c r="A41" s="8"/>
      <c r="B41" s="76" t="s">
        <v>52</v>
      </c>
      <c r="C41" s="113" t="s">
        <v>48</v>
      </c>
      <c r="D41" s="114"/>
      <c r="E41" s="59">
        <f>E35+E40</f>
        <v>5297.48</v>
      </c>
      <c r="F41" s="24"/>
      <c r="G41" s="42">
        <f>G35+G40</f>
        <v>27833.553600000007</v>
      </c>
      <c r="H41" s="24"/>
      <c r="I41" s="42">
        <f>I35+I40</f>
        <v>35.644799999999989</v>
      </c>
      <c r="K41" s="99" t="s">
        <v>56</v>
      </c>
      <c r="L41" s="134" t="s">
        <v>68</v>
      </c>
      <c r="M41" s="134"/>
      <c r="N41" s="135"/>
      <c r="O41" s="69"/>
      <c r="P41" s="69"/>
      <c r="Q41" s="69"/>
    </row>
    <row r="42" spans="1:17" ht="15.6" x14ac:dyDescent="0.3">
      <c r="A42" s="8"/>
      <c r="B42" s="76" t="s">
        <v>53</v>
      </c>
      <c r="C42" s="113" t="s">
        <v>33</v>
      </c>
      <c r="D42" s="114"/>
      <c r="E42" s="58"/>
      <c r="F42" s="43" t="s">
        <v>34</v>
      </c>
      <c r="G42" s="44">
        <f>G41/E41</f>
        <v>5.2541120683796843</v>
      </c>
      <c r="H42" s="43" t="s">
        <v>35</v>
      </c>
      <c r="I42" s="44">
        <f>I41/E41</f>
        <v>6.7286332369352964E-3</v>
      </c>
      <c r="J42" s="21"/>
      <c r="K42" s="100"/>
      <c r="L42" s="136"/>
      <c r="M42" s="136"/>
      <c r="N42" s="137"/>
    </row>
    <row r="43" spans="1:17" x14ac:dyDescent="0.3">
      <c r="A43" s="8"/>
      <c r="B43" s="8"/>
    </row>
    <row r="44" spans="1:17" x14ac:dyDescent="0.3">
      <c r="A44" s="8"/>
      <c r="B44" s="8"/>
      <c r="C44" s="8"/>
      <c r="D44" s="8"/>
      <c r="E44" s="8"/>
      <c r="H44" s="97"/>
    </row>
    <row r="45" spans="1:17" ht="13.8" customHeight="1" x14ac:dyDescent="0.3">
      <c r="A45" s="15"/>
    </row>
    <row r="46" spans="1:17" ht="13.8" customHeight="1" x14ac:dyDescent="0.3">
      <c r="A46" s="15"/>
    </row>
    <row r="47" spans="1:17" ht="13.8" hidden="1" customHeight="1" x14ac:dyDescent="0.3"/>
    <row r="48" spans="1:17" ht="13.8" hidden="1" customHeight="1" x14ac:dyDescent="0.3"/>
    <row r="49" spans="1:11" ht="13.8" hidden="1" customHeight="1" x14ac:dyDescent="0.3">
      <c r="A49" s="144"/>
      <c r="B49" s="144"/>
      <c r="C49" s="145"/>
      <c r="D49" s="145"/>
      <c r="E49" s="145"/>
      <c r="F49" s="32"/>
    </row>
    <row r="50" spans="1:11" ht="13.8" hidden="1" customHeight="1" x14ac:dyDescent="0.3">
      <c r="G50" s="140"/>
      <c r="H50" s="140"/>
      <c r="I50" s="33"/>
      <c r="K50" s="31"/>
    </row>
    <row r="51" spans="1:11" ht="13.8" hidden="1" customHeight="1" x14ac:dyDescent="0.3"/>
    <row r="52" spans="1:11" ht="13.8" hidden="1" customHeight="1" x14ac:dyDescent="0.3">
      <c r="B52" s="8"/>
    </row>
    <row r="53" spans="1:11" ht="13.8" hidden="1" customHeight="1" x14ac:dyDescent="0.3">
      <c r="B53" s="8"/>
    </row>
    <row r="54" spans="1:11" ht="13.8" hidden="1" customHeight="1" x14ac:dyDescent="0.3"/>
    <row r="55" spans="1:11" ht="13.8" hidden="1" customHeight="1" x14ac:dyDescent="0.3"/>
    <row r="56" spans="1:11" ht="13.8" hidden="1" customHeight="1" x14ac:dyDescent="0.3"/>
    <row r="57" spans="1:11" ht="13.8" hidden="1" customHeight="1" x14ac:dyDescent="0.3"/>
    <row r="58" spans="1:11" ht="13.8" hidden="1" customHeight="1" x14ac:dyDescent="0.3"/>
    <row r="59" spans="1:11" ht="13.8" hidden="1" customHeight="1" x14ac:dyDescent="0.3"/>
    <row r="60" spans="1:11" ht="13.8" hidden="1" customHeight="1" x14ac:dyDescent="0.3"/>
    <row r="61" spans="1:11" ht="13.8" hidden="1" customHeight="1" x14ac:dyDescent="0.3"/>
    <row r="62" spans="1:11" ht="13.8" hidden="1" customHeight="1" x14ac:dyDescent="0.3"/>
    <row r="63" spans="1:11" ht="13.8" hidden="1" customHeight="1" x14ac:dyDescent="0.3"/>
    <row r="64" spans="1:11" ht="13.8" hidden="1" customHeight="1" x14ac:dyDescent="0.3"/>
    <row r="65" spans="19:21" ht="13.8" hidden="1" customHeight="1" x14ac:dyDescent="0.3"/>
    <row r="66" spans="19:21" ht="13.8" hidden="1" customHeight="1" x14ac:dyDescent="0.3"/>
    <row r="67" spans="19:21" ht="13.8" hidden="1" customHeight="1" x14ac:dyDescent="0.3"/>
    <row r="68" spans="19:21" ht="13.8" hidden="1" customHeight="1" x14ac:dyDescent="0.3"/>
    <row r="69" spans="19:21" ht="13.8" hidden="1" customHeight="1" x14ac:dyDescent="0.3"/>
    <row r="70" spans="19:21" ht="13.8" hidden="1" customHeight="1" x14ac:dyDescent="0.3"/>
    <row r="71" spans="19:21" ht="13.8" hidden="1" customHeight="1" x14ac:dyDescent="0.3"/>
    <row r="72" spans="19:21" ht="13.8" hidden="1" customHeight="1" x14ac:dyDescent="0.3"/>
    <row r="73" spans="19:21" ht="13.8" hidden="1" customHeight="1" x14ac:dyDescent="0.3">
      <c r="S73" s="38"/>
      <c r="T73" s="39"/>
      <c r="U73" s="40"/>
    </row>
    <row r="74" spans="19:21" ht="13.8" hidden="1" customHeight="1" x14ac:dyDescent="0.3">
      <c r="S74" s="38"/>
      <c r="T74" s="39"/>
      <c r="U74" s="40"/>
    </row>
    <row r="75" spans="19:21" ht="13.8" hidden="1" customHeight="1" x14ac:dyDescent="0.3">
      <c r="S75" s="38"/>
      <c r="T75" s="39"/>
      <c r="U75" s="40"/>
    </row>
    <row r="76" spans="19:21" ht="13.8" hidden="1" customHeight="1" x14ac:dyDescent="0.3">
      <c r="S76" s="38"/>
      <c r="T76" s="39"/>
      <c r="U76" s="40"/>
    </row>
    <row r="77" spans="19:21" ht="13.8" hidden="1" customHeight="1" x14ac:dyDescent="0.3"/>
    <row r="78" spans="19:21" ht="13.8" hidden="1" customHeight="1" x14ac:dyDescent="0.3"/>
    <row r="79" spans="19:21" ht="13.8" hidden="1" customHeight="1" x14ac:dyDescent="0.3"/>
    <row r="80" spans="19:21" ht="13.8" hidden="1" customHeight="1" x14ac:dyDescent="0.3"/>
    <row r="81" ht="13.8" hidden="1" customHeight="1" x14ac:dyDescent="0.3"/>
    <row r="82" ht="13.8" hidden="1" customHeight="1" x14ac:dyDescent="0.3"/>
    <row r="83" ht="13.8" hidden="1" customHeight="1" x14ac:dyDescent="0.3"/>
    <row r="84" ht="13.8" hidden="1" customHeight="1" x14ac:dyDescent="0.3"/>
    <row r="85" ht="13.8" hidden="1" customHeight="1" x14ac:dyDescent="0.3"/>
    <row r="86" ht="13.8" hidden="1" customHeight="1" x14ac:dyDescent="0.3"/>
    <row r="87" ht="13.8" hidden="1" customHeight="1" x14ac:dyDescent="0.3"/>
    <row r="88" ht="13.8" hidden="1" customHeight="1" x14ac:dyDescent="0.3"/>
    <row r="89" ht="13.8" hidden="1" customHeight="1" x14ac:dyDescent="0.3"/>
    <row r="90" ht="13.8" hidden="1" customHeight="1" x14ac:dyDescent="0.3"/>
    <row r="91" ht="13.8" hidden="1" customHeight="1" x14ac:dyDescent="0.3"/>
    <row r="92" ht="13.8" hidden="1" customHeight="1" x14ac:dyDescent="0.3"/>
    <row r="93" ht="13.8" hidden="1" customHeight="1" x14ac:dyDescent="0.3"/>
    <row r="94" ht="13.8" hidden="1" customHeight="1" x14ac:dyDescent="0.3"/>
    <row r="95" ht="13.8" hidden="1" customHeight="1" x14ac:dyDescent="0.3"/>
    <row r="96" ht="13.8" hidden="1" customHeight="1" x14ac:dyDescent="0.3"/>
    <row r="97" ht="13.8" hidden="1" customHeight="1" x14ac:dyDescent="0.3"/>
    <row r="98" ht="13.8" hidden="1" customHeight="1" x14ac:dyDescent="0.3"/>
  </sheetData>
  <sortState xmlns:xlrd2="http://schemas.microsoft.com/office/spreadsheetml/2017/richdata2" ref="Z3:AB70">
    <sortCondition ref="Z3:Z70"/>
  </sortState>
  <mergeCells count="55">
    <mergeCell ref="A1:Q3"/>
    <mergeCell ref="G50:H50"/>
    <mergeCell ref="K35:O35"/>
    <mergeCell ref="K18:O18"/>
    <mergeCell ref="G19:G20"/>
    <mergeCell ref="H19:H20"/>
    <mergeCell ref="A49:B49"/>
    <mergeCell ref="C49:E49"/>
    <mergeCell ref="I19:I20"/>
    <mergeCell ref="B19:B20"/>
    <mergeCell ref="C19:D20"/>
    <mergeCell ref="C33:D33"/>
    <mergeCell ref="C21:D21"/>
    <mergeCell ref="C42:D42"/>
    <mergeCell ref="K4:M4"/>
    <mergeCell ref="E19:E20"/>
    <mergeCell ref="K37:Q38"/>
    <mergeCell ref="I13:J13"/>
    <mergeCell ref="B4:E4"/>
    <mergeCell ref="F19:F20"/>
    <mergeCell ref="C38:D38"/>
    <mergeCell ref="D8:F8"/>
    <mergeCell ref="D9:F9"/>
    <mergeCell ref="C39:D39"/>
    <mergeCell ref="C34:D34"/>
    <mergeCell ref="C40:D40"/>
    <mergeCell ref="C41:D41"/>
    <mergeCell ref="L39:N39"/>
    <mergeCell ref="L41:N42"/>
    <mergeCell ref="C36:D36"/>
    <mergeCell ref="C37:D37"/>
    <mergeCell ref="G14:H14"/>
    <mergeCell ref="I14:J14"/>
    <mergeCell ref="C30:D30"/>
    <mergeCell ref="C31:D31"/>
    <mergeCell ref="C32:D32"/>
    <mergeCell ref="C24:D24"/>
    <mergeCell ref="C25:D25"/>
    <mergeCell ref="C26:D26"/>
    <mergeCell ref="C27:D27"/>
    <mergeCell ref="C28:D28"/>
    <mergeCell ref="C29:D29"/>
    <mergeCell ref="C22:D22"/>
    <mergeCell ref="C23:D23"/>
    <mergeCell ref="B6:D6"/>
    <mergeCell ref="C11:D11"/>
    <mergeCell ref="F4:J4"/>
    <mergeCell ref="B8:C8"/>
    <mergeCell ref="C35:D35"/>
    <mergeCell ref="K41:K42"/>
    <mergeCell ref="G13:H13"/>
    <mergeCell ref="H11:I11"/>
    <mergeCell ref="H12:I12"/>
    <mergeCell ref="N4:Q4"/>
    <mergeCell ref="P39:Q39"/>
  </mergeCells>
  <phoneticPr fontId="11" type="noConversion"/>
  <conditionalFormatting sqref="H10">
    <cfRule type="expression" dxfId="11" priority="19">
      <formula>#REF!="VT-RGP"</formula>
    </cfRule>
  </conditionalFormatting>
  <conditionalFormatting sqref="E37">
    <cfRule type="cellIs" dxfId="10" priority="10" operator="greaterThan">
      <formula>6050</formula>
    </cfRule>
  </conditionalFormatting>
  <conditionalFormatting sqref="H25">
    <cfRule type="expression" dxfId="9" priority="9">
      <formula>R1048569="VT-RGP"</formula>
    </cfRule>
  </conditionalFormatting>
  <conditionalFormatting sqref="E25">
    <cfRule type="expression" dxfId="8" priority="8">
      <formula>Q1048569="VT-RGP"</formula>
    </cfRule>
  </conditionalFormatting>
  <conditionalFormatting sqref="F25">
    <cfRule type="expression" dxfId="7" priority="11">
      <formula>Q1048569="VT-RGP"</formula>
    </cfRule>
  </conditionalFormatting>
  <conditionalFormatting sqref="E25">
    <cfRule type="expression" dxfId="6" priority="12">
      <formula>R1048569="VT-RGP"</formula>
    </cfRule>
  </conditionalFormatting>
  <conditionalFormatting sqref="E39">
    <cfRule type="cellIs" dxfId="5" priority="7" operator="greaterThan">
      <formula>6050</formula>
    </cfRule>
  </conditionalFormatting>
  <conditionalFormatting sqref="E40">
    <cfRule type="cellIs" dxfId="4" priority="6" operator="greaterThan">
      <formula>6050</formula>
    </cfRule>
  </conditionalFormatting>
  <conditionalFormatting sqref="E41">
    <cfRule type="cellIs" dxfId="3" priority="4" operator="greaterThan">
      <formula>6050</formula>
    </cfRule>
  </conditionalFormatting>
  <conditionalFormatting sqref="I15">
    <cfRule type="cellIs" dxfId="2" priority="3" operator="greaterThan">
      <formula>50</formula>
    </cfRule>
  </conditionalFormatting>
  <conditionalFormatting sqref="I16">
    <cfRule type="cellIs" dxfId="1" priority="2" operator="greaterThan">
      <formula>300</formula>
    </cfRule>
  </conditionalFormatting>
  <conditionalFormatting sqref="I17">
    <cfRule type="cellIs" dxfId="0" priority="1" operator="greaterThan">
      <formula>30</formula>
    </cfRule>
  </conditionalFormatting>
  <dataValidations count="4">
    <dataValidation type="whole" operator="lessThan" allowBlank="1" showInputMessage="1" showErrorMessage="1" errorTitle="MTOW " error="MTOW Exceeded" sqref="E39" xr:uid="{01ECF8DB-F150-432B-AF0E-18972A5181C8}">
      <formula1>3800</formula1>
    </dataValidation>
    <dataValidation type="custom" allowBlank="1" showInputMessage="1" sqref="H10" xr:uid="{7ADBF8D0-DB5F-4FAB-897D-A70F455360D0}">
      <formula1>IF(#REF!="VT-RGP",FALSE,AND(H10&gt;=0,H10&lt;=500))</formula1>
    </dataValidation>
    <dataValidation type="list" allowBlank="1" showInputMessage="1" sqref="C49:E49" xr:uid="{70A3437A-C0A5-4BC5-8E03-EDC233A9F547}">
      <formula1>#REF!</formula1>
    </dataValidation>
    <dataValidation type="list" sqref="K50" xr:uid="{4A804DEE-0D69-4077-AEDD-B798C857CA40}">
      <formula1>$I$31:$I$35</formula1>
    </dataValidation>
  </dataValidations>
  <pageMargins left="0.39370078740157483" right="0.19685039370078741" top="0.39370078740157483" bottom="0.19685039370078741" header="0.31496062992125984" footer="0.11811023622047245"/>
  <pageSetup paperSize="9" scale="80" orientation="landscape" r:id="rId1"/>
  <rowBreaks count="1" manualBreakCount="1">
    <brk id="46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28C8FA-03EA-4B11-BB81-44E413AA5674}">
          <x14:formula1>
            <xm:f>Data!$I$4:$I$134</xm:f>
          </x14:formula1>
          <xm:sqref>H12:I12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6B1E3-1DBF-4954-8E27-BF75480ECB37}">
  <dimension ref="B2:L134"/>
  <sheetViews>
    <sheetView workbookViewId="0">
      <selection activeCell="O6" sqref="O6"/>
    </sheetView>
  </sheetViews>
  <sheetFormatPr defaultRowHeight="14.4" x14ac:dyDescent="0.3"/>
  <cols>
    <col min="3" max="3" width="6" bestFit="1" customWidth="1"/>
    <col min="11" max="11" width="12.5546875" bestFit="1" customWidth="1"/>
  </cols>
  <sheetData>
    <row r="2" spans="2:12" ht="15" thickBot="1" x14ac:dyDescent="0.35"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9.4" thickBot="1" x14ac:dyDescent="0.35">
      <c r="B3" s="2"/>
      <c r="C3" s="2"/>
      <c r="D3" s="2"/>
      <c r="E3" s="2"/>
      <c r="F3" s="2"/>
      <c r="G3" s="2"/>
      <c r="H3" s="2"/>
      <c r="I3" s="84" t="s">
        <v>60</v>
      </c>
      <c r="J3" s="85" t="s">
        <v>61</v>
      </c>
      <c r="K3" s="86" t="s">
        <v>62</v>
      </c>
      <c r="L3" s="2"/>
    </row>
    <row r="4" spans="2:12" x14ac:dyDescent="0.3">
      <c r="B4" s="78" t="s">
        <v>31</v>
      </c>
      <c r="C4" s="79"/>
      <c r="D4" s="82"/>
      <c r="E4" s="81" t="s">
        <v>32</v>
      </c>
      <c r="F4" s="80"/>
      <c r="G4" s="83"/>
      <c r="H4" s="2"/>
      <c r="I4" s="87">
        <v>0</v>
      </c>
      <c r="J4" s="88">
        <v>5.07</v>
      </c>
      <c r="K4" s="89">
        <f>I4*J4</f>
        <v>0</v>
      </c>
      <c r="L4" s="75"/>
    </row>
    <row r="5" spans="2:12" x14ac:dyDescent="0.3">
      <c r="B5" s="7" t="s">
        <v>33</v>
      </c>
      <c r="C5" s="20" t="s">
        <v>3</v>
      </c>
      <c r="D5" s="7" t="s">
        <v>4</v>
      </c>
      <c r="E5" s="7"/>
      <c r="F5" s="7" t="s">
        <v>3</v>
      </c>
      <c r="G5" s="7" t="s">
        <v>4</v>
      </c>
      <c r="H5" s="2"/>
      <c r="I5" s="87">
        <v>10</v>
      </c>
      <c r="J5" s="88">
        <v>5.07</v>
      </c>
      <c r="K5" s="89">
        <f>I5*J5</f>
        <v>50.7</v>
      </c>
      <c r="L5" s="75"/>
    </row>
    <row r="6" spans="2:12" x14ac:dyDescent="0.3">
      <c r="B6" s="7"/>
      <c r="C6" s="20">
        <v>5.0919999999999996</v>
      </c>
      <c r="D6" s="7">
        <v>4700</v>
      </c>
      <c r="E6" s="7"/>
      <c r="F6" s="7">
        <v>-6.5000000000000002E-2</v>
      </c>
      <c r="G6" s="7">
        <v>5500</v>
      </c>
      <c r="H6" s="2"/>
      <c r="I6" s="87">
        <v>20</v>
      </c>
      <c r="J6" s="88">
        <v>5.0750000000000002</v>
      </c>
      <c r="K6" s="89">
        <f t="shared" ref="K6:K69" si="0">I6*J6</f>
        <v>101.5</v>
      </c>
      <c r="L6" s="74"/>
    </row>
    <row r="7" spans="2:12" x14ac:dyDescent="0.3">
      <c r="B7" s="7"/>
      <c r="C7" s="20">
        <v>5.0919999999999996</v>
      </c>
      <c r="D7" s="7">
        <v>5300</v>
      </c>
      <c r="E7" s="7"/>
      <c r="F7" s="7">
        <v>-4.4999999999999998E-2</v>
      </c>
      <c r="G7" s="7">
        <v>6050</v>
      </c>
      <c r="H7" s="2"/>
      <c r="I7" s="87">
        <v>30</v>
      </c>
      <c r="J7" s="88">
        <v>5.0781000000000001</v>
      </c>
      <c r="K7" s="89">
        <f t="shared" si="0"/>
        <v>152.34299999999999</v>
      </c>
      <c r="L7" s="74"/>
    </row>
    <row r="8" spans="2:12" x14ac:dyDescent="0.3">
      <c r="B8" s="7"/>
      <c r="C8" s="20">
        <v>5.13</v>
      </c>
      <c r="D8" s="7">
        <v>6050</v>
      </c>
      <c r="E8" s="7"/>
      <c r="F8" s="7">
        <v>4.4999999999999998E-2</v>
      </c>
      <c r="G8" s="7">
        <v>6050</v>
      </c>
      <c r="H8" s="2"/>
      <c r="I8" s="87">
        <v>40</v>
      </c>
      <c r="J8" s="88">
        <v>5.0808</v>
      </c>
      <c r="K8" s="89">
        <f t="shared" si="0"/>
        <v>203.232</v>
      </c>
      <c r="L8" s="74"/>
    </row>
    <row r="9" spans="2:12" x14ac:dyDescent="0.3">
      <c r="B9" s="7"/>
      <c r="C9" s="20">
        <v>5.2869999999999999</v>
      </c>
      <c r="D9" s="7">
        <v>6050</v>
      </c>
      <c r="E9" s="7"/>
      <c r="F9" s="7">
        <v>6.5000000000000002E-2</v>
      </c>
      <c r="G9" s="7">
        <v>5500</v>
      </c>
      <c r="H9" s="2"/>
      <c r="I9" s="87">
        <v>50</v>
      </c>
      <c r="J9" s="88">
        <v>5.0834999999999999</v>
      </c>
      <c r="K9" s="89">
        <f t="shared" si="0"/>
        <v>254.17499999999998</v>
      </c>
      <c r="L9" s="75"/>
    </row>
    <row r="10" spans="2:12" x14ac:dyDescent="0.3">
      <c r="B10" s="7"/>
      <c r="C10" s="20">
        <v>5.39</v>
      </c>
      <c r="D10" s="7">
        <v>4500</v>
      </c>
      <c r="E10" s="7"/>
      <c r="F10" s="7">
        <v>6.5000000000000002E-2</v>
      </c>
      <c r="G10" s="7">
        <v>3760</v>
      </c>
      <c r="H10" s="2"/>
      <c r="I10" s="87">
        <v>60</v>
      </c>
      <c r="J10" s="88">
        <v>5.0861999999999998</v>
      </c>
      <c r="K10" s="89">
        <f t="shared" si="0"/>
        <v>305.17199999999997</v>
      </c>
      <c r="L10" s="74"/>
    </row>
    <row r="11" spans="2:12" x14ac:dyDescent="0.3">
      <c r="B11" s="7"/>
      <c r="C11" s="20">
        <v>5.39</v>
      </c>
      <c r="D11" s="7">
        <v>3760</v>
      </c>
      <c r="E11" s="7"/>
      <c r="F11" s="7">
        <v>-6.5000000000000002E-2</v>
      </c>
      <c r="G11" s="7">
        <v>3760</v>
      </c>
      <c r="H11" s="2"/>
      <c r="I11" s="87">
        <v>70</v>
      </c>
      <c r="J11" s="88">
        <v>5.0888999999999998</v>
      </c>
      <c r="K11" s="89">
        <f t="shared" si="0"/>
        <v>356.22299999999996</v>
      </c>
      <c r="L11" s="74"/>
    </row>
    <row r="12" spans="2:12" x14ac:dyDescent="0.3">
      <c r="B12" s="7"/>
      <c r="C12" s="20">
        <v>5.3049999999999997</v>
      </c>
      <c r="D12" s="7">
        <v>3760</v>
      </c>
      <c r="E12" s="7"/>
      <c r="F12" s="7">
        <v>-6.5000000000000002E-2</v>
      </c>
      <c r="G12" s="7">
        <v>5500</v>
      </c>
      <c r="H12" s="2"/>
      <c r="I12" s="87">
        <v>74.5</v>
      </c>
      <c r="J12" s="88">
        <v>5.09</v>
      </c>
      <c r="K12" s="89">
        <f t="shared" si="0"/>
        <v>379.20499999999998</v>
      </c>
      <c r="L12" s="74"/>
    </row>
    <row r="13" spans="2:12" x14ac:dyDescent="0.3">
      <c r="B13" s="7"/>
      <c r="C13" s="20">
        <v>5.0919999999999996</v>
      </c>
      <c r="D13" s="7">
        <v>4700</v>
      </c>
      <c r="E13" s="7"/>
      <c r="F13" s="7"/>
      <c r="G13" s="16"/>
      <c r="H13" s="2"/>
      <c r="I13" s="87">
        <v>80</v>
      </c>
      <c r="J13" s="88">
        <v>5.0894000000000004</v>
      </c>
      <c r="K13" s="89">
        <f t="shared" si="0"/>
        <v>407.15200000000004</v>
      </c>
      <c r="L13" s="74"/>
    </row>
    <row r="14" spans="2:12" x14ac:dyDescent="0.3">
      <c r="B14" s="16"/>
      <c r="C14" s="47"/>
      <c r="D14" s="16"/>
      <c r="E14" s="16"/>
      <c r="F14" s="2"/>
      <c r="G14" s="2"/>
      <c r="H14" s="2"/>
      <c r="I14" s="87">
        <v>90</v>
      </c>
      <c r="J14" s="88">
        <v>5.0880999999999998</v>
      </c>
      <c r="K14" s="89">
        <f t="shared" si="0"/>
        <v>457.92899999999997</v>
      </c>
      <c r="L14" s="75"/>
    </row>
    <row r="15" spans="2:12" x14ac:dyDescent="0.3">
      <c r="B15" s="24" t="s">
        <v>14</v>
      </c>
      <c r="C15" s="71">
        <f>'H160 L&amp;T'!G36</f>
        <v>5.2910272082913608</v>
      </c>
      <c r="D15" s="65">
        <f>'H160 L&amp;T'!E35</f>
        <v>4407.4799999999996</v>
      </c>
      <c r="E15" s="16"/>
      <c r="F15" s="67">
        <f>'H160 L&amp;T'!I36</f>
        <v>8.0873424269650666E-3</v>
      </c>
      <c r="G15" s="68">
        <f>'H160 L&amp;T'!E35</f>
        <v>4407.4799999999996</v>
      </c>
      <c r="H15" s="2"/>
      <c r="I15" s="87">
        <v>100</v>
      </c>
      <c r="J15" s="88">
        <v>5.0868000000000002</v>
      </c>
      <c r="K15" s="89">
        <f t="shared" si="0"/>
        <v>508.68</v>
      </c>
      <c r="L15" s="74"/>
    </row>
    <row r="16" spans="2:12" x14ac:dyDescent="0.3">
      <c r="B16" s="70" t="s">
        <v>17</v>
      </c>
      <c r="C16" s="72">
        <f>'H160 L&amp;T'!G39</f>
        <v>5.2047851103711746</v>
      </c>
      <c r="D16" s="34">
        <f>'H160 L&amp;T'!E38</f>
        <v>5057.4799999999996</v>
      </c>
      <c r="E16" s="7"/>
      <c r="F16" s="34">
        <f>'H160 L&amp;T'!I39</f>
        <v>7.0479369171998684E-3</v>
      </c>
      <c r="G16" s="68">
        <f>'H160 L&amp;T'!E38</f>
        <v>5057.4799999999996</v>
      </c>
      <c r="H16" s="2"/>
      <c r="I16" s="87">
        <v>110</v>
      </c>
      <c r="J16" s="88">
        <v>5.0854999999999997</v>
      </c>
      <c r="K16" s="89">
        <f t="shared" si="0"/>
        <v>559.40499999999997</v>
      </c>
      <c r="L16" s="74"/>
    </row>
    <row r="17" spans="2:12" x14ac:dyDescent="0.3">
      <c r="B17" s="70" t="s">
        <v>53</v>
      </c>
      <c r="C17" s="73">
        <f>'H160 L&amp;T'!G42</f>
        <v>5.2541120683796843</v>
      </c>
      <c r="D17" s="64">
        <f>'H160 L&amp;T'!E41</f>
        <v>5297.48</v>
      </c>
      <c r="E17" s="7"/>
      <c r="F17" s="63">
        <f>'H160 L&amp;T'!I42</f>
        <v>6.7286332369352964E-3</v>
      </c>
      <c r="G17" s="64">
        <f>'H160 L&amp;T'!E41</f>
        <v>5297.48</v>
      </c>
      <c r="H17" s="2"/>
      <c r="I17" s="87">
        <v>120</v>
      </c>
      <c r="J17" s="88">
        <v>5.0842000000000001</v>
      </c>
      <c r="K17" s="89">
        <f t="shared" si="0"/>
        <v>610.10400000000004</v>
      </c>
      <c r="L17" s="74"/>
    </row>
    <row r="18" spans="2:12" x14ac:dyDescent="0.3">
      <c r="B18" s="40"/>
      <c r="C18" s="40"/>
      <c r="D18" s="40"/>
      <c r="E18" s="2"/>
      <c r="F18" s="2"/>
      <c r="G18" s="2"/>
      <c r="H18" s="2"/>
      <c r="I18" s="87">
        <v>130</v>
      </c>
      <c r="J18" s="88">
        <v>5.0829000000000004</v>
      </c>
      <c r="K18" s="89">
        <f t="shared" si="0"/>
        <v>660.77700000000004</v>
      </c>
      <c r="L18" s="74"/>
    </row>
    <row r="19" spans="2:12" x14ac:dyDescent="0.3">
      <c r="B19" s="130" t="s">
        <v>31</v>
      </c>
      <c r="C19" s="131"/>
      <c r="D19" s="152"/>
      <c r="E19" s="153" t="s">
        <v>32</v>
      </c>
      <c r="F19" s="129"/>
      <c r="G19" s="154"/>
      <c r="H19" s="2"/>
      <c r="I19" s="87">
        <v>140</v>
      </c>
      <c r="J19" s="88">
        <v>5.0815999999999999</v>
      </c>
      <c r="K19" s="89">
        <f t="shared" si="0"/>
        <v>711.42399999999998</v>
      </c>
      <c r="L19" s="75"/>
    </row>
    <row r="20" spans="2:12" x14ac:dyDescent="0.3">
      <c r="B20" s="7" t="s">
        <v>3</v>
      </c>
      <c r="C20" s="7" t="s">
        <v>4</v>
      </c>
      <c r="D20" s="16"/>
      <c r="E20" s="7" t="s">
        <v>3</v>
      </c>
      <c r="F20" s="7" t="s">
        <v>4</v>
      </c>
      <c r="G20" s="16"/>
      <c r="H20" s="2"/>
      <c r="I20" s="87">
        <v>150</v>
      </c>
      <c r="J20" s="88">
        <v>5.0803000000000003</v>
      </c>
      <c r="K20" s="89">
        <f t="shared" si="0"/>
        <v>762.04500000000007</v>
      </c>
      <c r="L20" s="74"/>
    </row>
    <row r="21" spans="2:12" x14ac:dyDescent="0.3">
      <c r="B21" s="7">
        <v>5.05</v>
      </c>
      <c r="C21" s="7">
        <v>6100</v>
      </c>
      <c r="D21" s="7"/>
      <c r="E21" s="7">
        <v>-0.2</v>
      </c>
      <c r="F21" s="7">
        <v>6100</v>
      </c>
      <c r="G21" s="7"/>
      <c r="H21" s="2"/>
      <c r="I21" s="87">
        <v>154.5</v>
      </c>
      <c r="J21" s="88">
        <v>5.08</v>
      </c>
      <c r="K21" s="89">
        <f t="shared" si="0"/>
        <v>784.86</v>
      </c>
      <c r="L21" s="74"/>
    </row>
    <row r="22" spans="2:12" x14ac:dyDescent="0.3">
      <c r="B22" s="7">
        <v>5.45</v>
      </c>
      <c r="C22" s="7">
        <v>6100</v>
      </c>
      <c r="D22" s="7"/>
      <c r="E22" s="7">
        <v>0.2</v>
      </c>
      <c r="F22" s="7">
        <v>6100</v>
      </c>
      <c r="G22" s="7"/>
      <c r="I22" s="87">
        <v>160</v>
      </c>
      <c r="J22" s="88">
        <v>5.08</v>
      </c>
      <c r="K22" s="89">
        <f t="shared" si="0"/>
        <v>812.8</v>
      </c>
      <c r="L22" s="74"/>
    </row>
    <row r="23" spans="2:12" x14ac:dyDescent="0.3">
      <c r="B23" s="38"/>
      <c r="C23" s="39"/>
      <c r="D23" s="40"/>
      <c r="E23" s="2"/>
      <c r="F23" s="2"/>
      <c r="G23" s="2"/>
      <c r="I23" s="87">
        <v>170</v>
      </c>
      <c r="J23" s="88">
        <v>5.08</v>
      </c>
      <c r="K23" s="89">
        <f t="shared" si="0"/>
        <v>863.6</v>
      </c>
      <c r="L23" s="74"/>
    </row>
    <row r="24" spans="2:12" x14ac:dyDescent="0.3">
      <c r="B24" s="2"/>
      <c r="I24" s="87">
        <v>180</v>
      </c>
      <c r="J24" s="88">
        <v>5.08</v>
      </c>
      <c r="K24" s="89">
        <f t="shared" si="0"/>
        <v>914.4</v>
      </c>
      <c r="L24" s="75"/>
    </row>
    <row r="25" spans="2:12" x14ac:dyDescent="0.3">
      <c r="B25" s="2"/>
      <c r="I25" s="87">
        <v>190</v>
      </c>
      <c r="J25" s="88">
        <v>5.08</v>
      </c>
      <c r="K25" s="89">
        <f t="shared" si="0"/>
        <v>965.2</v>
      </c>
      <c r="L25" s="74"/>
    </row>
    <row r="26" spans="2:12" x14ac:dyDescent="0.3">
      <c r="B26" s="2"/>
      <c r="I26" s="87">
        <v>200</v>
      </c>
      <c r="J26" s="88">
        <v>5.08</v>
      </c>
      <c r="K26" s="89">
        <f t="shared" si="0"/>
        <v>1016</v>
      </c>
      <c r="L26" s="74"/>
    </row>
    <row r="27" spans="2:12" x14ac:dyDescent="0.3">
      <c r="B27" s="2"/>
      <c r="I27" s="87">
        <v>210</v>
      </c>
      <c r="J27" s="88">
        <v>5.08</v>
      </c>
      <c r="K27" s="89">
        <f t="shared" si="0"/>
        <v>1066.8</v>
      </c>
      <c r="L27" s="74"/>
    </row>
    <row r="28" spans="2:12" x14ac:dyDescent="0.3">
      <c r="B28" s="2"/>
      <c r="I28" s="87">
        <v>220</v>
      </c>
      <c r="J28" s="88">
        <v>5.08</v>
      </c>
      <c r="K28" s="89">
        <f t="shared" si="0"/>
        <v>1117.5999999999999</v>
      </c>
      <c r="L28" s="74"/>
    </row>
    <row r="29" spans="2:12" x14ac:dyDescent="0.3">
      <c r="B29" s="2"/>
      <c r="I29" s="87">
        <v>230</v>
      </c>
      <c r="J29" s="88">
        <v>5.08</v>
      </c>
      <c r="K29" s="89">
        <f t="shared" si="0"/>
        <v>1168.4000000000001</v>
      </c>
      <c r="L29" s="75"/>
    </row>
    <row r="30" spans="2:12" x14ac:dyDescent="0.3">
      <c r="B30" s="2"/>
      <c r="I30" s="87">
        <v>234.5</v>
      </c>
      <c r="J30" s="88">
        <v>5.08</v>
      </c>
      <c r="K30" s="89">
        <f t="shared" si="0"/>
        <v>1191.26</v>
      </c>
      <c r="L30" s="74"/>
    </row>
    <row r="31" spans="2:12" x14ac:dyDescent="0.3">
      <c r="B31" s="2"/>
      <c r="I31" s="87">
        <v>240</v>
      </c>
      <c r="J31" s="88">
        <v>5.08</v>
      </c>
      <c r="K31" s="89">
        <f t="shared" si="0"/>
        <v>1219.2</v>
      </c>
      <c r="L31" s="74"/>
    </row>
    <row r="32" spans="2:12" x14ac:dyDescent="0.3">
      <c r="B32" s="2"/>
      <c r="I32" s="87">
        <v>250</v>
      </c>
      <c r="J32" s="88">
        <v>5.08</v>
      </c>
      <c r="K32" s="89">
        <f t="shared" si="0"/>
        <v>1270</v>
      </c>
      <c r="L32" s="74"/>
    </row>
    <row r="33" spans="2:12" x14ac:dyDescent="0.3">
      <c r="B33" s="2"/>
      <c r="I33" s="87">
        <v>260</v>
      </c>
      <c r="J33" s="88">
        <v>5.08</v>
      </c>
      <c r="K33" s="89">
        <f t="shared" si="0"/>
        <v>1320.8</v>
      </c>
      <c r="L33" s="74"/>
    </row>
    <row r="34" spans="2:12" x14ac:dyDescent="0.3">
      <c r="B34" s="2"/>
      <c r="I34" s="87">
        <v>270</v>
      </c>
      <c r="J34" s="88">
        <v>5.08</v>
      </c>
      <c r="K34" s="89">
        <f t="shared" si="0"/>
        <v>1371.6</v>
      </c>
      <c r="L34" s="75"/>
    </row>
    <row r="35" spans="2:12" x14ac:dyDescent="0.3">
      <c r="B35" s="2"/>
      <c r="I35" s="87">
        <v>280</v>
      </c>
      <c r="J35" s="88">
        <v>5.08</v>
      </c>
      <c r="K35" s="89">
        <f t="shared" si="0"/>
        <v>1422.4</v>
      </c>
      <c r="L35" s="74"/>
    </row>
    <row r="36" spans="2:12" x14ac:dyDescent="0.3">
      <c r="B36" s="40"/>
      <c r="I36" s="87">
        <v>290</v>
      </c>
      <c r="J36" s="88">
        <v>5.08</v>
      </c>
      <c r="K36" s="89">
        <f t="shared" si="0"/>
        <v>1473.2</v>
      </c>
      <c r="L36" s="74"/>
    </row>
    <row r="37" spans="2:12" x14ac:dyDescent="0.3">
      <c r="B37" s="2"/>
      <c r="I37" s="87">
        <v>300</v>
      </c>
      <c r="J37" s="88">
        <v>5.08</v>
      </c>
      <c r="K37" s="89">
        <f t="shared" si="0"/>
        <v>1524</v>
      </c>
      <c r="L37" s="74"/>
    </row>
    <row r="38" spans="2:12" x14ac:dyDescent="0.3">
      <c r="B38" s="40"/>
      <c r="I38" s="87">
        <v>310</v>
      </c>
      <c r="J38" s="88">
        <v>5.08</v>
      </c>
      <c r="K38" s="89">
        <f t="shared" si="0"/>
        <v>1574.8</v>
      </c>
      <c r="L38" s="74"/>
    </row>
    <row r="39" spans="2:12" x14ac:dyDescent="0.3">
      <c r="B39" s="40"/>
      <c r="I39" s="87">
        <v>314.5</v>
      </c>
      <c r="J39" s="88">
        <v>5.08</v>
      </c>
      <c r="K39" s="89">
        <f t="shared" si="0"/>
        <v>1597.66</v>
      </c>
      <c r="L39" s="75"/>
    </row>
    <row r="40" spans="2:12" x14ac:dyDescent="0.3">
      <c r="B40" s="2"/>
      <c r="I40" s="87">
        <v>320</v>
      </c>
      <c r="J40" s="88">
        <v>5.0789999999999997</v>
      </c>
      <c r="K40" s="89">
        <f t="shared" si="0"/>
        <v>1625.28</v>
      </c>
      <c r="L40" s="74"/>
    </row>
    <row r="41" spans="2:12" x14ac:dyDescent="0.3">
      <c r="B41" s="2"/>
      <c r="I41" s="87">
        <v>330</v>
      </c>
      <c r="J41" s="88">
        <v>5.0765000000000002</v>
      </c>
      <c r="K41" s="89">
        <f t="shared" si="0"/>
        <v>1675.2450000000001</v>
      </c>
      <c r="L41" s="74"/>
    </row>
    <row r="42" spans="2:12" x14ac:dyDescent="0.3">
      <c r="B42" s="2"/>
      <c r="C42" s="38"/>
      <c r="D42" s="39"/>
      <c r="E42" s="40"/>
      <c r="F42" s="2"/>
      <c r="G42" s="2"/>
      <c r="H42" s="2"/>
      <c r="I42" s="87">
        <v>340</v>
      </c>
      <c r="J42" s="88">
        <v>5.0739999999999998</v>
      </c>
      <c r="K42" s="89">
        <f t="shared" si="0"/>
        <v>1725.1599999999999</v>
      </c>
      <c r="L42" s="74"/>
    </row>
    <row r="43" spans="2:12" x14ac:dyDescent="0.3">
      <c r="B43" s="2"/>
      <c r="C43" s="38"/>
      <c r="D43" s="39"/>
      <c r="E43" s="40"/>
      <c r="F43" s="2"/>
      <c r="G43" s="2"/>
      <c r="H43" s="2"/>
      <c r="I43" s="87">
        <v>350</v>
      </c>
      <c r="J43" s="88">
        <v>5.0715000000000003</v>
      </c>
      <c r="K43" s="89">
        <f t="shared" si="0"/>
        <v>1775.0250000000001</v>
      </c>
      <c r="L43" s="74"/>
    </row>
    <row r="44" spans="2:12" x14ac:dyDescent="0.3">
      <c r="B44" s="2"/>
      <c r="C44" s="38"/>
      <c r="D44" s="39"/>
      <c r="E44" s="40"/>
      <c r="F44" s="2"/>
      <c r="G44" s="2"/>
      <c r="H44" s="2"/>
      <c r="I44" s="87">
        <v>360</v>
      </c>
      <c r="J44" s="88">
        <v>5.069</v>
      </c>
      <c r="K44" s="89">
        <f t="shared" si="0"/>
        <v>1824.84</v>
      </c>
      <c r="L44" s="75"/>
    </row>
    <row r="45" spans="2:12" x14ac:dyDescent="0.3">
      <c r="B45" s="2"/>
      <c r="C45" s="38"/>
      <c r="D45" s="39"/>
      <c r="E45" s="40"/>
      <c r="F45" s="2"/>
      <c r="G45" s="2"/>
      <c r="H45" s="2"/>
      <c r="I45" s="87">
        <v>370</v>
      </c>
      <c r="J45" s="88">
        <v>5.0664999999999996</v>
      </c>
      <c r="K45" s="89">
        <f t="shared" si="0"/>
        <v>1874.6049999999998</v>
      </c>
      <c r="L45" s="74"/>
    </row>
    <row r="46" spans="2:12" x14ac:dyDescent="0.3">
      <c r="B46" s="2"/>
      <c r="C46" s="38"/>
      <c r="D46" s="39"/>
      <c r="E46" s="40"/>
      <c r="F46" s="2"/>
      <c r="G46" s="2"/>
      <c r="H46" s="2"/>
      <c r="I46" s="87">
        <v>380</v>
      </c>
      <c r="J46" s="88">
        <v>5.0640000000000001</v>
      </c>
      <c r="K46" s="89">
        <f t="shared" si="0"/>
        <v>1924.32</v>
      </c>
      <c r="L46" s="74"/>
    </row>
    <row r="47" spans="2:12" x14ac:dyDescent="0.3">
      <c r="B47" s="2"/>
      <c r="C47" s="38"/>
      <c r="D47" s="39"/>
      <c r="E47" s="40"/>
      <c r="F47" s="2"/>
      <c r="G47" s="2"/>
      <c r="H47" s="2"/>
      <c r="I47" s="90">
        <v>390</v>
      </c>
      <c r="J47" s="91">
        <v>5.0614999999999997</v>
      </c>
      <c r="K47" s="89">
        <f t="shared" si="0"/>
        <v>1973.9849999999999</v>
      </c>
      <c r="L47" s="74"/>
    </row>
    <row r="48" spans="2:12" x14ac:dyDescent="0.3">
      <c r="B48" s="2"/>
      <c r="C48" s="38"/>
      <c r="D48" s="39"/>
      <c r="E48" s="40"/>
      <c r="F48" s="2"/>
      <c r="G48" s="2"/>
      <c r="H48" s="2"/>
      <c r="I48" s="87">
        <v>394.5</v>
      </c>
      <c r="J48" s="88">
        <v>5.0599999999999996</v>
      </c>
      <c r="K48" s="89">
        <f t="shared" si="0"/>
        <v>1996.1699999999998</v>
      </c>
      <c r="L48" s="74"/>
    </row>
    <row r="49" spans="2:12" x14ac:dyDescent="0.3">
      <c r="B49" s="2"/>
      <c r="C49" s="38"/>
      <c r="D49" s="39"/>
      <c r="E49" s="40"/>
      <c r="F49" s="2"/>
      <c r="G49" s="2"/>
      <c r="H49" s="2"/>
      <c r="I49" s="87">
        <v>400</v>
      </c>
      <c r="J49" s="88">
        <v>5.0446</v>
      </c>
      <c r="K49" s="89">
        <f t="shared" si="0"/>
        <v>2017.84</v>
      </c>
      <c r="L49" s="75"/>
    </row>
    <row r="50" spans="2:12" x14ac:dyDescent="0.3">
      <c r="B50" s="2"/>
      <c r="C50" s="38"/>
      <c r="D50" s="39"/>
      <c r="E50" s="40"/>
      <c r="F50" s="2"/>
      <c r="G50" s="2"/>
      <c r="H50" s="2"/>
      <c r="I50" s="87">
        <v>410</v>
      </c>
      <c r="J50" s="88">
        <v>5.0159000000000002</v>
      </c>
      <c r="K50" s="89">
        <f t="shared" si="0"/>
        <v>2056.5190000000002</v>
      </c>
      <c r="L50" s="74"/>
    </row>
    <row r="51" spans="2:12" x14ac:dyDescent="0.3">
      <c r="B51" s="2"/>
      <c r="C51" s="38"/>
      <c r="D51" s="39"/>
      <c r="E51" s="40"/>
      <c r="F51" s="2"/>
      <c r="G51" s="2"/>
      <c r="H51" s="2"/>
      <c r="I51" s="87">
        <v>420</v>
      </c>
      <c r="J51" s="88">
        <v>4.9870999999999999</v>
      </c>
      <c r="K51" s="89">
        <f t="shared" si="0"/>
        <v>2094.5819999999999</v>
      </c>
      <c r="L51" s="74"/>
    </row>
    <row r="52" spans="2:12" x14ac:dyDescent="0.3">
      <c r="B52" s="2"/>
      <c r="C52" s="38"/>
      <c r="D52" s="39"/>
      <c r="E52" s="40"/>
      <c r="F52" s="2"/>
      <c r="G52" s="2"/>
      <c r="H52" s="2"/>
      <c r="I52" s="87">
        <v>430</v>
      </c>
      <c r="J52" s="88">
        <v>4.9584000000000001</v>
      </c>
      <c r="K52" s="89">
        <f t="shared" si="0"/>
        <v>2132.1120000000001</v>
      </c>
      <c r="L52" s="74"/>
    </row>
    <row r="53" spans="2:12" x14ac:dyDescent="0.3">
      <c r="B53" s="2"/>
      <c r="C53" s="38"/>
      <c r="D53" s="39"/>
      <c r="E53" s="40"/>
      <c r="F53" s="2"/>
      <c r="G53" s="2"/>
      <c r="H53" s="2"/>
      <c r="I53" s="87">
        <v>440</v>
      </c>
      <c r="J53" s="88">
        <v>4.9295999999999998</v>
      </c>
      <c r="K53" s="89">
        <f t="shared" si="0"/>
        <v>2169.0239999999999</v>
      </c>
      <c r="L53" s="74"/>
    </row>
    <row r="54" spans="2:12" x14ac:dyDescent="0.3">
      <c r="B54" s="2"/>
      <c r="C54" s="38"/>
      <c r="D54" s="39"/>
      <c r="E54" s="40"/>
      <c r="F54" s="2"/>
      <c r="G54" s="2"/>
      <c r="H54" s="2"/>
      <c r="I54" s="87">
        <v>450</v>
      </c>
      <c r="J54" s="88">
        <v>4.9009</v>
      </c>
      <c r="K54" s="89">
        <f t="shared" si="0"/>
        <v>2205.4050000000002</v>
      </c>
      <c r="L54" s="75"/>
    </row>
    <row r="55" spans="2:12" x14ac:dyDescent="0.3">
      <c r="B55" s="2"/>
      <c r="C55" s="38"/>
      <c r="D55" s="39"/>
      <c r="E55" s="40"/>
      <c r="F55" s="2"/>
      <c r="G55" s="2"/>
      <c r="H55" s="2"/>
      <c r="I55" s="87">
        <v>460</v>
      </c>
      <c r="J55" s="88">
        <v>4.8720999999999997</v>
      </c>
      <c r="K55" s="89">
        <f t="shared" si="0"/>
        <v>2241.1659999999997</v>
      </c>
      <c r="L55" s="74"/>
    </row>
    <row r="56" spans="2:12" x14ac:dyDescent="0.3">
      <c r="B56" s="2"/>
      <c r="C56" s="38"/>
      <c r="D56" s="39"/>
      <c r="E56" s="40"/>
      <c r="F56" s="2"/>
      <c r="G56" s="2"/>
      <c r="H56" s="2"/>
      <c r="I56" s="87">
        <v>470</v>
      </c>
      <c r="J56" s="88">
        <v>4.8433999999999999</v>
      </c>
      <c r="K56" s="89">
        <f t="shared" si="0"/>
        <v>2276.3980000000001</v>
      </c>
      <c r="L56" s="74"/>
    </row>
    <row r="57" spans="2:12" x14ac:dyDescent="0.3">
      <c r="B57" s="2"/>
      <c r="C57" s="38"/>
      <c r="D57" s="39"/>
      <c r="E57" s="40"/>
      <c r="F57" s="2"/>
      <c r="G57" s="2"/>
      <c r="H57" s="2"/>
      <c r="I57" s="87">
        <v>474.5</v>
      </c>
      <c r="J57" s="88">
        <v>4.83</v>
      </c>
      <c r="K57" s="89">
        <f t="shared" si="0"/>
        <v>2291.835</v>
      </c>
      <c r="L57" s="74"/>
    </row>
    <row r="58" spans="2:12" x14ac:dyDescent="0.3">
      <c r="B58" s="2"/>
      <c r="C58" s="38"/>
      <c r="D58" s="39"/>
      <c r="E58" s="40"/>
      <c r="F58" s="2"/>
      <c r="G58" s="2"/>
      <c r="H58" s="2"/>
      <c r="I58" s="87">
        <v>480</v>
      </c>
      <c r="J58" s="88">
        <v>4.82</v>
      </c>
      <c r="K58" s="89">
        <f t="shared" si="0"/>
        <v>2313.6000000000004</v>
      </c>
      <c r="L58" s="74"/>
    </row>
    <row r="59" spans="2:12" x14ac:dyDescent="0.3">
      <c r="B59" s="2"/>
      <c r="C59" s="38"/>
      <c r="D59" s="39"/>
      <c r="E59" s="40"/>
      <c r="F59" s="2"/>
      <c r="G59" s="2"/>
      <c r="H59" s="2"/>
      <c r="I59" s="87">
        <v>490</v>
      </c>
      <c r="J59" s="88">
        <v>4.8</v>
      </c>
      <c r="K59" s="89">
        <f t="shared" si="0"/>
        <v>2352</v>
      </c>
      <c r="L59" s="75"/>
    </row>
    <row r="60" spans="2:12" x14ac:dyDescent="0.3">
      <c r="B60" s="2"/>
      <c r="C60" s="38"/>
      <c r="D60" s="39"/>
      <c r="E60" s="40"/>
      <c r="F60" s="2"/>
      <c r="G60" s="2"/>
      <c r="H60" s="2"/>
      <c r="I60" s="87">
        <v>500</v>
      </c>
      <c r="J60" s="88">
        <v>4.78</v>
      </c>
      <c r="K60" s="89">
        <f t="shared" si="0"/>
        <v>2390</v>
      </c>
      <c r="L60" s="74"/>
    </row>
    <row r="61" spans="2:12" x14ac:dyDescent="0.3">
      <c r="B61" s="2"/>
      <c r="C61" s="38"/>
      <c r="D61" s="39"/>
      <c r="E61" s="40"/>
      <c r="F61" s="2"/>
      <c r="G61" s="2"/>
      <c r="H61" s="2"/>
      <c r="I61" s="87">
        <v>510</v>
      </c>
      <c r="J61" s="88">
        <v>4.76</v>
      </c>
      <c r="K61" s="89">
        <f t="shared" si="0"/>
        <v>2427.6</v>
      </c>
      <c r="L61" s="74"/>
    </row>
    <row r="62" spans="2:12" x14ac:dyDescent="0.3">
      <c r="B62" s="2"/>
      <c r="C62" s="38"/>
      <c r="D62" s="39"/>
      <c r="E62" s="40"/>
      <c r="F62" s="2"/>
      <c r="G62" s="2"/>
      <c r="H62" s="2"/>
      <c r="I62" s="87">
        <v>520</v>
      </c>
      <c r="J62" s="88">
        <v>4.74</v>
      </c>
      <c r="K62" s="89">
        <f t="shared" si="0"/>
        <v>2464.8000000000002</v>
      </c>
      <c r="L62" s="74"/>
    </row>
    <row r="63" spans="2:12" x14ac:dyDescent="0.3">
      <c r="B63" s="2"/>
      <c r="C63" s="38"/>
      <c r="D63" s="39"/>
      <c r="E63" s="40"/>
      <c r="F63" s="2"/>
      <c r="G63" s="2"/>
      <c r="H63" s="2"/>
      <c r="I63" s="87">
        <v>530</v>
      </c>
      <c r="J63" s="88">
        <v>4.72</v>
      </c>
      <c r="K63" s="89">
        <f t="shared" si="0"/>
        <v>2501.6</v>
      </c>
      <c r="L63" s="74"/>
    </row>
    <row r="64" spans="2:12" x14ac:dyDescent="0.3">
      <c r="B64" s="2"/>
      <c r="C64" s="38"/>
      <c r="D64" s="39"/>
      <c r="E64" s="40"/>
      <c r="F64" s="2"/>
      <c r="G64" s="2"/>
      <c r="H64" s="2"/>
      <c r="I64" s="87">
        <v>540</v>
      </c>
      <c r="J64" s="88">
        <v>4.7</v>
      </c>
      <c r="K64" s="89">
        <f t="shared" si="0"/>
        <v>2538</v>
      </c>
      <c r="L64" s="75"/>
    </row>
    <row r="65" spans="2:12" x14ac:dyDescent="0.3">
      <c r="B65" s="2"/>
      <c r="C65" s="38"/>
      <c r="D65" s="39"/>
      <c r="E65" s="40"/>
      <c r="F65" s="2"/>
      <c r="G65" s="2"/>
      <c r="H65" s="2"/>
      <c r="I65" s="87">
        <v>550</v>
      </c>
      <c r="J65" s="88">
        <v>4.68</v>
      </c>
      <c r="K65" s="89">
        <f t="shared" si="0"/>
        <v>2574</v>
      </c>
      <c r="L65" s="74"/>
    </row>
    <row r="66" spans="2:12" x14ac:dyDescent="0.3">
      <c r="B66" s="2"/>
      <c r="C66" s="38"/>
      <c r="D66" s="39"/>
      <c r="E66" s="40"/>
      <c r="F66" s="2"/>
      <c r="G66" s="2"/>
      <c r="H66" s="2"/>
      <c r="I66" s="87">
        <v>554.5</v>
      </c>
      <c r="J66" s="88">
        <v>4.67</v>
      </c>
      <c r="K66" s="89">
        <f t="shared" si="0"/>
        <v>2589.5149999999999</v>
      </c>
      <c r="L66" s="74"/>
    </row>
    <row r="67" spans="2:12" x14ac:dyDescent="0.3">
      <c r="B67" s="2"/>
      <c r="C67" s="38"/>
      <c r="D67" s="39"/>
      <c r="E67" s="40"/>
      <c r="F67" s="2"/>
      <c r="G67" s="2"/>
      <c r="H67" s="2"/>
      <c r="I67" s="87">
        <v>560</v>
      </c>
      <c r="J67" s="88">
        <v>4.6651999999999996</v>
      </c>
      <c r="K67" s="89">
        <f t="shared" si="0"/>
        <v>2612.5119999999997</v>
      </c>
      <c r="L67" s="74"/>
    </row>
    <row r="68" spans="2:12" x14ac:dyDescent="0.3">
      <c r="B68" s="2"/>
      <c r="C68" s="38"/>
      <c r="D68" s="39"/>
      <c r="E68" s="40"/>
      <c r="F68" s="2"/>
      <c r="G68" s="2"/>
      <c r="H68" s="2"/>
      <c r="I68" s="87">
        <v>570</v>
      </c>
      <c r="J68" s="88">
        <v>4.6565000000000003</v>
      </c>
      <c r="K68" s="89">
        <f t="shared" si="0"/>
        <v>2654.2050000000004</v>
      </c>
      <c r="L68" s="74"/>
    </row>
    <row r="69" spans="2:12" x14ac:dyDescent="0.3">
      <c r="B69" s="2"/>
      <c r="C69" s="38"/>
      <c r="D69" s="39"/>
      <c r="E69" s="40"/>
      <c r="F69" s="2"/>
      <c r="G69" s="2"/>
      <c r="H69" s="2"/>
      <c r="I69" s="87">
        <v>580</v>
      </c>
      <c r="J69" s="88">
        <v>4.6478000000000002</v>
      </c>
      <c r="K69" s="89">
        <f t="shared" si="0"/>
        <v>2695.7240000000002</v>
      </c>
      <c r="L69" s="75"/>
    </row>
    <row r="70" spans="2:12" x14ac:dyDescent="0.3">
      <c r="B70" s="2"/>
      <c r="C70" s="38"/>
      <c r="D70" s="39"/>
      <c r="E70" s="40"/>
      <c r="F70" s="2"/>
      <c r="G70" s="2"/>
      <c r="H70" s="2"/>
      <c r="I70" s="87">
        <v>590</v>
      </c>
      <c r="J70" s="88">
        <v>4.6390000000000002</v>
      </c>
      <c r="K70" s="89">
        <f t="shared" ref="K70:K133" si="1">I70*J70</f>
        <v>2737.01</v>
      </c>
      <c r="L70" s="74"/>
    </row>
    <row r="71" spans="2:12" x14ac:dyDescent="0.3">
      <c r="B71" s="2"/>
      <c r="C71" s="38"/>
      <c r="D71" s="39"/>
      <c r="E71" s="40"/>
      <c r="F71" s="2"/>
      <c r="G71" s="2"/>
      <c r="H71" s="2"/>
      <c r="I71" s="87">
        <v>600</v>
      </c>
      <c r="J71" s="88">
        <v>4.6303000000000001</v>
      </c>
      <c r="K71" s="89">
        <f t="shared" si="1"/>
        <v>2778.18</v>
      </c>
      <c r="L71" s="75"/>
    </row>
    <row r="72" spans="2:12" x14ac:dyDescent="0.3">
      <c r="B72" s="2"/>
      <c r="C72" s="38"/>
      <c r="D72" s="39"/>
      <c r="E72" s="40"/>
      <c r="F72" s="2"/>
      <c r="G72" s="2"/>
      <c r="H72" s="2"/>
      <c r="I72" s="87">
        <v>610</v>
      </c>
      <c r="J72" s="88">
        <v>4.6215000000000002</v>
      </c>
      <c r="K72" s="89">
        <f t="shared" si="1"/>
        <v>2819.1150000000002</v>
      </c>
      <c r="L72" s="2"/>
    </row>
    <row r="73" spans="2:12" x14ac:dyDescent="0.3">
      <c r="B73" s="2"/>
      <c r="C73" s="38"/>
      <c r="D73" s="39"/>
      <c r="E73" s="40"/>
      <c r="F73" s="2"/>
      <c r="G73" s="2"/>
      <c r="H73" s="2"/>
      <c r="I73" s="87">
        <v>620</v>
      </c>
      <c r="J73" s="88">
        <v>4.6128</v>
      </c>
      <c r="K73" s="89">
        <f t="shared" si="1"/>
        <v>2859.9360000000001</v>
      </c>
      <c r="L73" s="2"/>
    </row>
    <row r="74" spans="2:12" x14ac:dyDescent="0.3">
      <c r="I74" s="87">
        <v>630</v>
      </c>
      <c r="J74" s="88">
        <v>4.6040999999999999</v>
      </c>
      <c r="K74" s="89">
        <f t="shared" si="1"/>
        <v>2900.5830000000001</v>
      </c>
    </row>
    <row r="75" spans="2:12" x14ac:dyDescent="0.3">
      <c r="I75" s="87">
        <v>634.5</v>
      </c>
      <c r="J75" s="88">
        <v>4.5999999999999996</v>
      </c>
      <c r="K75" s="89">
        <f t="shared" si="1"/>
        <v>2918.7</v>
      </c>
    </row>
    <row r="76" spans="2:12" x14ac:dyDescent="0.3">
      <c r="I76" s="87">
        <v>640</v>
      </c>
      <c r="J76" s="88">
        <v>4.6069000000000004</v>
      </c>
      <c r="K76" s="89">
        <f t="shared" si="1"/>
        <v>2948.4160000000002</v>
      </c>
    </row>
    <row r="77" spans="2:12" x14ac:dyDescent="0.3">
      <c r="I77" s="87">
        <v>650</v>
      </c>
      <c r="J77" s="88">
        <v>4.6205999999999996</v>
      </c>
      <c r="K77" s="89">
        <f t="shared" si="1"/>
        <v>3003.39</v>
      </c>
    </row>
    <row r="78" spans="2:12" x14ac:dyDescent="0.3">
      <c r="I78" s="87">
        <v>660</v>
      </c>
      <c r="J78" s="88">
        <v>4.6344000000000003</v>
      </c>
      <c r="K78" s="89">
        <f t="shared" si="1"/>
        <v>3058.7040000000002</v>
      </c>
    </row>
    <row r="79" spans="2:12" x14ac:dyDescent="0.3">
      <c r="I79" s="87">
        <v>670</v>
      </c>
      <c r="J79" s="88">
        <v>4.6481000000000003</v>
      </c>
      <c r="K79" s="89">
        <f t="shared" si="1"/>
        <v>3114.2270000000003</v>
      </c>
    </row>
    <row r="80" spans="2:12" x14ac:dyDescent="0.3">
      <c r="I80" s="87">
        <v>680</v>
      </c>
      <c r="J80" s="88">
        <v>4.6619000000000002</v>
      </c>
      <c r="K80" s="89">
        <f t="shared" si="1"/>
        <v>3170.0920000000001</v>
      </c>
    </row>
    <row r="81" spans="9:11" x14ac:dyDescent="0.3">
      <c r="I81" s="87">
        <v>690</v>
      </c>
      <c r="J81" s="88">
        <v>4.6756000000000002</v>
      </c>
      <c r="K81" s="89">
        <f t="shared" si="1"/>
        <v>3226.1640000000002</v>
      </c>
    </row>
    <row r="82" spans="9:11" x14ac:dyDescent="0.3">
      <c r="I82" s="87">
        <v>700</v>
      </c>
      <c r="J82" s="88">
        <v>4.6894</v>
      </c>
      <c r="K82" s="89">
        <f t="shared" si="1"/>
        <v>3282.58</v>
      </c>
    </row>
    <row r="83" spans="9:11" x14ac:dyDescent="0.3">
      <c r="I83" s="87">
        <v>710</v>
      </c>
      <c r="J83" s="88">
        <v>4.7031000000000001</v>
      </c>
      <c r="K83" s="89">
        <f t="shared" si="1"/>
        <v>3339.201</v>
      </c>
    </row>
    <row r="84" spans="9:11" x14ac:dyDescent="0.3">
      <c r="I84" s="87">
        <v>714.5</v>
      </c>
      <c r="J84" s="88">
        <v>4.71</v>
      </c>
      <c r="K84" s="89">
        <f t="shared" si="1"/>
        <v>3365.2950000000001</v>
      </c>
    </row>
    <row r="85" spans="9:11" x14ac:dyDescent="0.3">
      <c r="I85" s="87">
        <v>720</v>
      </c>
      <c r="J85" s="88">
        <v>4.7213000000000003</v>
      </c>
      <c r="K85" s="89">
        <f t="shared" si="1"/>
        <v>3399.3360000000002</v>
      </c>
    </row>
    <row r="86" spans="9:11" x14ac:dyDescent="0.3">
      <c r="I86" s="87">
        <v>730</v>
      </c>
      <c r="J86" s="88">
        <v>4.7439999999999998</v>
      </c>
      <c r="K86" s="89">
        <f t="shared" si="1"/>
        <v>3463.12</v>
      </c>
    </row>
    <row r="87" spans="9:11" x14ac:dyDescent="0.3">
      <c r="I87" s="87">
        <v>740</v>
      </c>
      <c r="J87" s="88">
        <v>4.7667999999999999</v>
      </c>
      <c r="K87" s="89">
        <f t="shared" si="1"/>
        <v>3527.4319999999998</v>
      </c>
    </row>
    <row r="88" spans="9:11" x14ac:dyDescent="0.3">
      <c r="I88" s="87">
        <v>750</v>
      </c>
      <c r="J88" s="88">
        <v>4.7895000000000003</v>
      </c>
      <c r="K88" s="89">
        <f t="shared" si="1"/>
        <v>3592.1250000000005</v>
      </c>
    </row>
    <row r="89" spans="9:11" x14ac:dyDescent="0.3">
      <c r="I89" s="87">
        <v>760</v>
      </c>
      <c r="J89" s="88">
        <v>4.8122999999999996</v>
      </c>
      <c r="K89" s="89">
        <f t="shared" si="1"/>
        <v>3657.3479999999995</v>
      </c>
    </row>
    <row r="90" spans="9:11" x14ac:dyDescent="0.3">
      <c r="I90" s="87">
        <v>770</v>
      </c>
      <c r="J90" s="88">
        <v>4.835</v>
      </c>
      <c r="K90" s="89">
        <f t="shared" si="1"/>
        <v>3722.95</v>
      </c>
    </row>
    <row r="91" spans="9:11" ht="15" thickBot="1" x14ac:dyDescent="0.35">
      <c r="I91" s="92">
        <v>780</v>
      </c>
      <c r="J91" s="93">
        <v>4.8578000000000001</v>
      </c>
      <c r="K91" s="89">
        <f t="shared" si="1"/>
        <v>3789.0840000000003</v>
      </c>
    </row>
    <row r="92" spans="9:11" x14ac:dyDescent="0.3">
      <c r="I92" s="87">
        <v>790</v>
      </c>
      <c r="J92" s="88">
        <v>4.8804999999999996</v>
      </c>
      <c r="K92" s="89">
        <f t="shared" si="1"/>
        <v>3855.5949999999998</v>
      </c>
    </row>
    <row r="93" spans="9:11" x14ac:dyDescent="0.3">
      <c r="I93" s="87">
        <v>794.5</v>
      </c>
      <c r="J93" s="88">
        <v>4.8899999999999997</v>
      </c>
      <c r="K93" s="89">
        <f t="shared" si="1"/>
        <v>3885.1049999999996</v>
      </c>
    </row>
    <row r="94" spans="9:11" x14ac:dyDescent="0.3">
      <c r="I94" s="87">
        <v>800</v>
      </c>
      <c r="J94" s="88">
        <v>4.9009</v>
      </c>
      <c r="K94" s="89">
        <f t="shared" si="1"/>
        <v>3920.7200000000003</v>
      </c>
    </row>
    <row r="95" spans="9:11" x14ac:dyDescent="0.3">
      <c r="I95" s="87">
        <v>810</v>
      </c>
      <c r="J95" s="88">
        <v>4.9207000000000001</v>
      </c>
      <c r="K95" s="89">
        <f t="shared" si="1"/>
        <v>3985.7670000000003</v>
      </c>
    </row>
    <row r="96" spans="9:11" x14ac:dyDescent="0.3">
      <c r="I96" s="87">
        <v>820</v>
      </c>
      <c r="J96" s="88">
        <v>4.9404000000000003</v>
      </c>
      <c r="K96" s="89">
        <f t="shared" si="1"/>
        <v>4051.1280000000002</v>
      </c>
    </row>
    <row r="97" spans="9:11" x14ac:dyDescent="0.3">
      <c r="I97" s="87">
        <v>830</v>
      </c>
      <c r="J97" s="88">
        <v>4.9602000000000004</v>
      </c>
      <c r="K97" s="89">
        <f t="shared" si="1"/>
        <v>4116.9660000000003</v>
      </c>
    </row>
    <row r="98" spans="9:11" x14ac:dyDescent="0.3">
      <c r="I98" s="87">
        <v>840</v>
      </c>
      <c r="J98" s="88">
        <v>4.9800000000000004</v>
      </c>
      <c r="K98" s="89">
        <f t="shared" si="1"/>
        <v>4183.2000000000007</v>
      </c>
    </row>
    <row r="99" spans="9:11" x14ac:dyDescent="0.3">
      <c r="I99" s="87">
        <v>850</v>
      </c>
      <c r="J99" s="88">
        <v>4.9997999999999996</v>
      </c>
      <c r="K99" s="89">
        <f t="shared" si="1"/>
        <v>4249.83</v>
      </c>
    </row>
    <row r="100" spans="9:11" x14ac:dyDescent="0.3">
      <c r="I100" s="87">
        <v>860</v>
      </c>
      <c r="J100" s="88">
        <v>5.0195999999999996</v>
      </c>
      <c r="K100" s="89">
        <f t="shared" si="1"/>
        <v>4316.8559999999998</v>
      </c>
    </row>
    <row r="101" spans="9:11" x14ac:dyDescent="0.3">
      <c r="I101" s="87">
        <v>870</v>
      </c>
      <c r="J101" s="88">
        <v>5.0392999999999999</v>
      </c>
      <c r="K101" s="89">
        <f t="shared" si="1"/>
        <v>4384.1909999999998</v>
      </c>
    </row>
    <row r="102" spans="9:11" x14ac:dyDescent="0.3">
      <c r="I102" s="87">
        <v>875.5</v>
      </c>
      <c r="J102" s="88">
        <v>5.05</v>
      </c>
      <c r="K102" s="89">
        <f t="shared" si="1"/>
        <v>4421.2749999999996</v>
      </c>
    </row>
    <row r="103" spans="9:11" x14ac:dyDescent="0.3">
      <c r="I103" s="87">
        <v>880</v>
      </c>
      <c r="J103" s="88">
        <v>5.0560999999999998</v>
      </c>
      <c r="K103" s="89">
        <f t="shared" si="1"/>
        <v>4449.3679999999995</v>
      </c>
    </row>
    <row r="104" spans="9:11" x14ac:dyDescent="0.3">
      <c r="I104" s="87">
        <v>890</v>
      </c>
      <c r="J104" s="88">
        <v>5.0712999999999999</v>
      </c>
      <c r="K104" s="89">
        <f t="shared" si="1"/>
        <v>4513.4570000000003</v>
      </c>
    </row>
    <row r="105" spans="9:11" x14ac:dyDescent="0.3">
      <c r="I105" s="87">
        <v>900</v>
      </c>
      <c r="J105" s="88">
        <v>5.0865</v>
      </c>
      <c r="K105" s="89">
        <f t="shared" si="1"/>
        <v>4577.8500000000004</v>
      </c>
    </row>
    <row r="106" spans="9:11" x14ac:dyDescent="0.3">
      <c r="I106" s="87">
        <v>910</v>
      </c>
      <c r="J106" s="88">
        <v>5.1017000000000001</v>
      </c>
      <c r="K106" s="89">
        <f t="shared" si="1"/>
        <v>4642.5470000000005</v>
      </c>
    </row>
    <row r="107" spans="9:11" x14ac:dyDescent="0.3">
      <c r="I107" s="87">
        <v>920</v>
      </c>
      <c r="J107" s="88">
        <v>5.1169000000000002</v>
      </c>
      <c r="K107" s="89">
        <f t="shared" si="1"/>
        <v>4707.5479999999998</v>
      </c>
    </row>
    <row r="108" spans="9:11" x14ac:dyDescent="0.3">
      <c r="I108" s="87">
        <v>930</v>
      </c>
      <c r="J108" s="88">
        <v>5.1321000000000003</v>
      </c>
      <c r="K108" s="89">
        <f t="shared" si="1"/>
        <v>4772.8530000000001</v>
      </c>
    </row>
    <row r="109" spans="9:11" x14ac:dyDescent="0.3">
      <c r="I109" s="87">
        <v>940</v>
      </c>
      <c r="J109" s="88">
        <v>5.1473000000000004</v>
      </c>
      <c r="K109" s="89">
        <f t="shared" si="1"/>
        <v>4838.4620000000004</v>
      </c>
    </row>
    <row r="110" spans="9:11" x14ac:dyDescent="0.3">
      <c r="I110" s="87">
        <v>950</v>
      </c>
      <c r="J110" s="88">
        <v>5.1624999999999996</v>
      </c>
      <c r="K110" s="89">
        <f t="shared" si="1"/>
        <v>4904.375</v>
      </c>
    </row>
    <row r="111" spans="9:11" x14ac:dyDescent="0.3">
      <c r="I111" s="87">
        <v>954.5</v>
      </c>
      <c r="J111" s="88">
        <v>5.17</v>
      </c>
      <c r="K111" s="89">
        <f t="shared" si="1"/>
        <v>4934.7650000000003</v>
      </c>
    </row>
    <row r="112" spans="9:11" x14ac:dyDescent="0.3">
      <c r="I112" s="87">
        <v>960</v>
      </c>
      <c r="J112" s="88">
        <v>5.1779000000000002</v>
      </c>
      <c r="K112" s="89">
        <f t="shared" si="1"/>
        <v>4970.7840000000006</v>
      </c>
    </row>
    <row r="113" spans="9:11" x14ac:dyDescent="0.3">
      <c r="I113" s="87">
        <v>970</v>
      </c>
      <c r="J113" s="88">
        <v>5.1916000000000002</v>
      </c>
      <c r="K113" s="89">
        <f t="shared" si="1"/>
        <v>5035.8519999999999</v>
      </c>
    </row>
    <row r="114" spans="9:11" x14ac:dyDescent="0.3">
      <c r="I114" s="87">
        <v>980</v>
      </c>
      <c r="J114" s="88">
        <v>5.2054</v>
      </c>
      <c r="K114" s="89">
        <f t="shared" si="1"/>
        <v>5101.2920000000004</v>
      </c>
    </row>
    <row r="115" spans="9:11" x14ac:dyDescent="0.3">
      <c r="I115" s="87">
        <v>990</v>
      </c>
      <c r="J115" s="88">
        <v>5.2191000000000001</v>
      </c>
      <c r="K115" s="89">
        <f t="shared" si="1"/>
        <v>5166.9089999999997</v>
      </c>
    </row>
    <row r="116" spans="9:11" x14ac:dyDescent="0.3">
      <c r="I116" s="87">
        <v>1000</v>
      </c>
      <c r="J116" s="88">
        <v>5.2328999999999999</v>
      </c>
      <c r="K116" s="89">
        <f t="shared" si="1"/>
        <v>5232.8999999999996</v>
      </c>
    </row>
    <row r="117" spans="9:11" x14ac:dyDescent="0.3">
      <c r="I117" s="87">
        <v>1010</v>
      </c>
      <c r="J117" s="88">
        <v>5.2465999999999999</v>
      </c>
      <c r="K117" s="89">
        <f t="shared" si="1"/>
        <v>5299.0659999999998</v>
      </c>
    </row>
    <row r="118" spans="9:11" x14ac:dyDescent="0.3">
      <c r="I118" s="87">
        <v>1020</v>
      </c>
      <c r="J118" s="88">
        <v>5.2603999999999997</v>
      </c>
      <c r="K118" s="89">
        <f t="shared" si="1"/>
        <v>5365.6080000000002</v>
      </c>
    </row>
    <row r="119" spans="9:11" x14ac:dyDescent="0.3">
      <c r="I119" s="87">
        <v>1030</v>
      </c>
      <c r="J119" s="88">
        <v>5.2740999999999998</v>
      </c>
      <c r="K119" s="89">
        <f t="shared" si="1"/>
        <v>5432.3229999999994</v>
      </c>
    </row>
    <row r="120" spans="9:11" x14ac:dyDescent="0.3">
      <c r="I120" s="87">
        <v>1034.5</v>
      </c>
      <c r="J120" s="88">
        <v>5.28</v>
      </c>
      <c r="K120" s="89">
        <f t="shared" si="1"/>
        <v>5462.16</v>
      </c>
    </row>
    <row r="121" spans="9:11" x14ac:dyDescent="0.3">
      <c r="I121" s="87">
        <v>1040</v>
      </c>
      <c r="J121" s="88">
        <v>5.2862</v>
      </c>
      <c r="K121" s="89">
        <f t="shared" si="1"/>
        <v>5497.6480000000001</v>
      </c>
    </row>
    <row r="122" spans="9:11" x14ac:dyDescent="0.3">
      <c r="I122" s="87">
        <v>1050</v>
      </c>
      <c r="J122" s="88">
        <v>5.2986000000000004</v>
      </c>
      <c r="K122" s="89">
        <f t="shared" si="1"/>
        <v>5563.5300000000007</v>
      </c>
    </row>
    <row r="123" spans="9:11" x14ac:dyDescent="0.3">
      <c r="I123" s="87">
        <v>1060</v>
      </c>
      <c r="J123" s="88">
        <v>5.3109999999999999</v>
      </c>
      <c r="K123" s="89">
        <f t="shared" si="1"/>
        <v>5629.66</v>
      </c>
    </row>
    <row r="124" spans="9:11" x14ac:dyDescent="0.3">
      <c r="I124" s="87">
        <v>1070</v>
      </c>
      <c r="J124" s="88">
        <v>5.3232999999999997</v>
      </c>
      <c r="K124" s="89">
        <f t="shared" si="1"/>
        <v>5695.9309999999996</v>
      </c>
    </row>
    <row r="125" spans="9:11" x14ac:dyDescent="0.3">
      <c r="I125" s="87">
        <v>1080</v>
      </c>
      <c r="J125" s="88">
        <v>5.3357000000000001</v>
      </c>
      <c r="K125" s="89">
        <f t="shared" si="1"/>
        <v>5762.5560000000005</v>
      </c>
    </row>
    <row r="126" spans="9:11" x14ac:dyDescent="0.3">
      <c r="I126" s="87">
        <v>1090</v>
      </c>
      <c r="J126" s="88">
        <v>5.3480999999999996</v>
      </c>
      <c r="K126" s="89">
        <f t="shared" si="1"/>
        <v>5829.4289999999992</v>
      </c>
    </row>
    <row r="127" spans="9:11" x14ac:dyDescent="0.3">
      <c r="I127" s="87">
        <v>1100</v>
      </c>
      <c r="J127" s="88">
        <v>5.3604000000000003</v>
      </c>
      <c r="K127" s="89">
        <f t="shared" si="1"/>
        <v>5896.4400000000005</v>
      </c>
    </row>
    <row r="128" spans="9:11" x14ac:dyDescent="0.3">
      <c r="I128" s="87">
        <v>1110</v>
      </c>
      <c r="J128" s="88">
        <v>5.3727999999999998</v>
      </c>
      <c r="K128" s="89">
        <f t="shared" si="1"/>
        <v>5963.808</v>
      </c>
    </row>
    <row r="129" spans="9:11" x14ac:dyDescent="0.3">
      <c r="I129" s="87">
        <v>1115.5</v>
      </c>
      <c r="J129" s="88">
        <v>5.38</v>
      </c>
      <c r="K129" s="89">
        <f t="shared" si="1"/>
        <v>6001.39</v>
      </c>
    </row>
    <row r="130" spans="9:11" x14ac:dyDescent="0.3">
      <c r="I130" s="87">
        <v>1120</v>
      </c>
      <c r="J130" s="88">
        <v>5.3844000000000003</v>
      </c>
      <c r="K130" s="89">
        <f t="shared" si="1"/>
        <v>6030.5280000000002</v>
      </c>
    </row>
    <row r="131" spans="9:11" x14ac:dyDescent="0.3">
      <c r="I131" s="87">
        <v>1130</v>
      </c>
      <c r="J131" s="88">
        <v>5.3956</v>
      </c>
      <c r="K131" s="89">
        <f t="shared" si="1"/>
        <v>6097.0280000000002</v>
      </c>
    </row>
    <row r="132" spans="9:11" x14ac:dyDescent="0.3">
      <c r="I132" s="87">
        <v>1140</v>
      </c>
      <c r="J132" s="88">
        <v>5.4066999999999998</v>
      </c>
      <c r="K132" s="89">
        <f t="shared" si="1"/>
        <v>6163.6379999999999</v>
      </c>
    </row>
    <row r="133" spans="9:11" x14ac:dyDescent="0.3">
      <c r="I133" s="87">
        <v>1150</v>
      </c>
      <c r="J133" s="88">
        <v>5.4177999999999997</v>
      </c>
      <c r="K133" s="89">
        <f t="shared" si="1"/>
        <v>6230.4699999999993</v>
      </c>
    </row>
    <row r="134" spans="9:11" x14ac:dyDescent="0.3">
      <c r="I134" s="87">
        <v>1151.5</v>
      </c>
      <c r="J134" s="88">
        <v>5.42</v>
      </c>
      <c r="K134" s="89">
        <f t="shared" ref="K134" si="2">I134*J134</f>
        <v>6241.13</v>
      </c>
    </row>
  </sheetData>
  <sheetProtection algorithmName="SHA-512" hashValue="aM7x0+IUhybVoxuXCCjHR8jPWJ/+MObj7SjWkFZCuwz6wHTHl+kZOsqPzqjKV8e9+CHJyyk+lZWUcolYivfzvw==" saltValue="P9xuBux77JaUfeZpAVG+lA==" spinCount="100000" sheet="1" objects="1" scenarios="1"/>
  <mergeCells count="2">
    <mergeCell ref="B19:D19"/>
    <mergeCell ref="E19:G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H160 L&amp;T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Zombies</dc:creator>
  <cp:lastModifiedBy>Asus</cp:lastModifiedBy>
  <cp:lastPrinted>2025-07-04T18:11:54Z</cp:lastPrinted>
  <dcterms:created xsi:type="dcterms:W3CDTF">2023-05-10T07:06:35Z</dcterms:created>
  <dcterms:modified xsi:type="dcterms:W3CDTF">2025-08-07T18:00:27Z</dcterms:modified>
</cp:coreProperties>
</file>